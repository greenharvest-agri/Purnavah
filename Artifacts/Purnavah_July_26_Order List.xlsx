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fulara\Downloads\Priyam GAPL\"/>
    </mc:Choice>
  </mc:AlternateContent>
  <xr:revisionPtr revIDLastSave="0" documentId="13_ncr:1_{A9844B3C-AD95-430E-B25E-F3C9CE6475E6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Order June 26" sheetId="1" r:id="rId1"/>
    <sheet name="Sheet6" sheetId="2" r:id="rId2"/>
    <sheet name="Sheet1" sheetId="5" r:id="rId3"/>
    <sheet name="June 26 Price List" sheetId="3" state="hidden" r:id="rId4"/>
    <sheet name="Landed cost breakdown" sheetId="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5" l="1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D2" i="5"/>
  <c r="C2" i="5"/>
  <c r="B2" i="5"/>
  <c r="D9" i="1"/>
  <c r="H20" i="3"/>
  <c r="H19" i="3"/>
  <c r="I19" i="3" s="1"/>
  <c r="F19" i="3"/>
  <c r="B19" i="3"/>
  <c r="H18" i="3"/>
  <c r="I18" i="3" s="1"/>
  <c r="F18" i="3"/>
  <c r="B18" i="3"/>
  <c r="E17" i="3"/>
  <c r="H17" i="3" s="1"/>
  <c r="I17" i="3" s="1"/>
  <c r="D17" i="3"/>
  <c r="F17" i="3" s="1"/>
  <c r="C17" i="3"/>
  <c r="B17" i="1" s="1"/>
  <c r="B17" i="3"/>
  <c r="E16" i="3"/>
  <c r="D16" i="1" s="1"/>
  <c r="D16" i="3"/>
  <c r="F16" i="3" s="1"/>
  <c r="C16" i="3"/>
  <c r="B16" i="1" s="1"/>
  <c r="B16" i="3"/>
  <c r="E15" i="3"/>
  <c r="H15" i="3" s="1"/>
  <c r="I15" i="3" s="1"/>
  <c r="D15" i="3"/>
  <c r="F15" i="3" s="1"/>
  <c r="C15" i="3"/>
  <c r="B15" i="3"/>
  <c r="E14" i="3"/>
  <c r="H14" i="3" s="1"/>
  <c r="I14" i="3" s="1"/>
  <c r="D14" i="3"/>
  <c r="C14" i="1" s="1"/>
  <c r="C14" i="3"/>
  <c r="B14" i="1" s="1"/>
  <c r="B14" i="3"/>
  <c r="E13" i="3"/>
  <c r="D13" i="1" s="1"/>
  <c r="D13" i="3"/>
  <c r="C13" i="1" s="1"/>
  <c r="C13" i="3"/>
  <c r="B13" i="1" s="1"/>
  <c r="B13" i="3"/>
  <c r="E12" i="3"/>
  <c r="H12" i="3" s="1"/>
  <c r="I12" i="3" s="1"/>
  <c r="D12" i="3"/>
  <c r="F12" i="3" s="1"/>
  <c r="C12" i="3"/>
  <c r="B12" i="1" s="1"/>
  <c r="B12" i="3"/>
  <c r="E11" i="3"/>
  <c r="H11" i="3" s="1"/>
  <c r="I11" i="3" s="1"/>
  <c r="D11" i="3"/>
  <c r="F11" i="3" s="1"/>
  <c r="C11" i="3"/>
  <c r="B11" i="1" s="1"/>
  <c r="B11" i="3"/>
  <c r="E10" i="3"/>
  <c r="D10" i="1" s="1"/>
  <c r="D10" i="3"/>
  <c r="C10" i="1" s="1"/>
  <c r="C10" i="3"/>
  <c r="B10" i="1" s="1"/>
  <c r="B10" i="3"/>
  <c r="E9" i="3"/>
  <c r="D9" i="3"/>
  <c r="F9" i="3" s="1"/>
  <c r="C9" i="3"/>
  <c r="H9" i="3" s="1"/>
  <c r="I9" i="3" s="1"/>
  <c r="B9" i="3"/>
  <c r="E8" i="3"/>
  <c r="H8" i="3" s="1"/>
  <c r="I8" i="3" s="1"/>
  <c r="D8" i="3"/>
  <c r="F8" i="3" s="1"/>
  <c r="C8" i="3"/>
  <c r="B8" i="3"/>
  <c r="E7" i="3"/>
  <c r="H7" i="3" s="1"/>
  <c r="I7" i="3" s="1"/>
  <c r="D7" i="3"/>
  <c r="F7" i="3" s="1"/>
  <c r="C7" i="3"/>
  <c r="B7" i="1" s="1"/>
  <c r="B7" i="3"/>
  <c r="H6" i="3"/>
  <c r="I6" i="3" s="1"/>
  <c r="F6" i="3"/>
  <c r="E6" i="3"/>
  <c r="D6" i="3"/>
  <c r="C6" i="3"/>
  <c r="B6" i="3"/>
  <c r="E5" i="3"/>
  <c r="H5" i="3" s="1"/>
  <c r="I5" i="3" s="1"/>
  <c r="D5" i="3"/>
  <c r="C5" i="1" s="1"/>
  <c r="C5" i="3"/>
  <c r="B5" i="1" s="1"/>
  <c r="B5" i="3"/>
  <c r="E4" i="3"/>
  <c r="H4" i="3" s="1"/>
  <c r="I4" i="3" s="1"/>
  <c r="D4" i="3"/>
  <c r="C4" i="1" s="1"/>
  <c r="C4" i="3"/>
  <c r="B4" i="1" s="1"/>
  <c r="B4" i="3"/>
  <c r="H3" i="3"/>
  <c r="I3" i="3" s="1"/>
  <c r="F3" i="3"/>
  <c r="E3" i="3"/>
  <c r="D3" i="3"/>
  <c r="C3" i="3"/>
  <c r="B3" i="3"/>
  <c r="E2" i="3"/>
  <c r="D2" i="3"/>
  <c r="F2" i="3" s="1"/>
  <c r="C2" i="3"/>
  <c r="H2" i="3" s="1"/>
  <c r="I2" i="3" s="1"/>
  <c r="B2" i="3"/>
  <c r="D20" i="1"/>
  <c r="C20" i="1"/>
  <c r="B20" i="1"/>
  <c r="D19" i="1"/>
  <c r="C19" i="1"/>
  <c r="B19" i="1"/>
  <c r="D18" i="1"/>
  <c r="C18" i="1"/>
  <c r="B18" i="1"/>
  <c r="D17" i="1"/>
  <c r="C17" i="1"/>
  <c r="D15" i="1"/>
  <c r="C15" i="1"/>
  <c r="B15" i="1"/>
  <c r="D14" i="1"/>
  <c r="D12" i="1"/>
  <c r="C12" i="1"/>
  <c r="C9" i="1"/>
  <c r="B9" i="1"/>
  <c r="D8" i="1"/>
  <c r="C8" i="1"/>
  <c r="B8" i="1"/>
  <c r="D7" i="1"/>
  <c r="C7" i="1"/>
  <c r="D6" i="1"/>
  <c r="C6" i="1"/>
  <c r="B6" i="1"/>
  <c r="D3" i="1"/>
  <c r="C3" i="1"/>
  <c r="B3" i="1"/>
  <c r="D2" i="1"/>
  <c r="C2" i="1"/>
  <c r="B2" i="1"/>
  <c r="D4" i="1" l="1"/>
  <c r="V21" i="1"/>
  <c r="V24" i="1" s="1"/>
  <c r="F5" i="3"/>
  <c r="C16" i="1"/>
  <c r="H10" i="3"/>
  <c r="I10" i="3" s="1"/>
  <c r="F4" i="3"/>
  <c r="S21" i="1"/>
  <c r="S24" i="1" s="1"/>
  <c r="C11" i="1"/>
  <c r="T21" i="1"/>
  <c r="T24" i="1" s="1"/>
  <c r="F13" i="3"/>
  <c r="H13" i="3"/>
  <c r="I13" i="3" s="1"/>
  <c r="P21" i="1"/>
  <c r="P24" i="1" s="1"/>
  <c r="D11" i="1"/>
  <c r="D5" i="1"/>
  <c r="F10" i="3"/>
  <c r="F21" i="1"/>
  <c r="F24" i="1" s="1"/>
  <c r="H16" i="3"/>
  <c r="I16" i="3" s="1"/>
  <c r="Q21" i="1"/>
  <c r="Q24" i="1" s="1"/>
  <c r="F14" i="3"/>
  <c r="V22" i="1"/>
  <c r="V23" i="1" s="1"/>
  <c r="U21" i="1"/>
  <c r="U24" i="1" s="1"/>
  <c r="W21" i="1"/>
  <c r="W24" i="1" s="1"/>
  <c r="Q22" i="1" l="1"/>
  <c r="Q23" i="1" s="1"/>
  <c r="U22" i="1"/>
  <c r="U23" i="1" s="1"/>
  <c r="T22" i="1"/>
  <c r="T23" i="1" s="1"/>
  <c r="S22" i="1"/>
  <c r="S23" i="1" s="1"/>
  <c r="O21" i="1"/>
  <c r="O24" i="1" s="1"/>
  <c r="M21" i="1"/>
  <c r="M24" i="1" s="1"/>
  <c r="I21" i="1"/>
  <c r="I24" i="1" s="1"/>
  <c r="N21" i="1"/>
  <c r="N24" i="1" s="1"/>
  <c r="L21" i="1"/>
  <c r="L24" i="1" s="1"/>
  <c r="K21" i="1"/>
  <c r="K24" i="1" s="1"/>
  <c r="J21" i="1"/>
  <c r="J24" i="1" s="1"/>
  <c r="H21" i="1"/>
  <c r="H24" i="1" s="1"/>
  <c r="L22" i="1"/>
  <c r="L23" i="1" s="1"/>
  <c r="F22" i="1"/>
  <c r="F23" i="1" s="1"/>
  <c r="J22" i="1"/>
  <c r="J23" i="1" s="1"/>
  <c r="K22" i="1"/>
  <c r="K23" i="1" s="1"/>
  <c r="N22" i="1"/>
  <c r="N23" i="1" s="1"/>
  <c r="W22" i="1"/>
  <c r="W23" i="1" s="1"/>
  <c r="O22" i="1"/>
  <c r="O23" i="1" s="1"/>
  <c r="P22" i="1"/>
  <c r="P23" i="1" s="1"/>
  <c r="R21" i="1"/>
  <c r="R24" i="1" s="1"/>
  <c r="G21" i="1"/>
  <c r="G24" i="1" s="1"/>
  <c r="E21" i="1"/>
  <c r="M22" i="1" l="1"/>
  <c r="M23" i="1" s="1"/>
  <c r="R22" i="1"/>
  <c r="R23" i="1" s="1"/>
  <c r="E24" i="1"/>
  <c r="X24" i="1" s="1"/>
  <c r="X21" i="1"/>
  <c r="E22" i="1"/>
  <c r="G22" i="1"/>
  <c r="G23" i="1" s="1"/>
  <c r="H22" i="1"/>
  <c r="H23" i="1" s="1"/>
  <c r="I22" i="1"/>
  <c r="I23" i="1" s="1"/>
  <c r="E23" i="1" l="1"/>
  <c r="X23" i="1" s="1"/>
  <c r="X22" i="1"/>
</calcChain>
</file>

<file path=xl/sharedStrings.xml><?xml version="1.0" encoding="utf-8"?>
<sst xmlns="http://schemas.openxmlformats.org/spreadsheetml/2006/main" count="322" uniqueCount="147">
  <si>
    <t>Product Name</t>
  </si>
  <si>
    <t>Landing Cost</t>
  </si>
  <si>
    <t>MRP</t>
  </si>
  <si>
    <t>Price/unit</t>
  </si>
  <si>
    <t>Kumar Saurav</t>
  </si>
  <si>
    <t>Sandhya</t>
  </si>
  <si>
    <t>Vishal Sinha</t>
  </si>
  <si>
    <t>Anindya Padhy</t>
  </si>
  <si>
    <t>Sonali Chatterjee</t>
  </si>
  <si>
    <t>Digvijay</t>
  </si>
  <si>
    <t>Sonal Jaiswal</t>
  </si>
  <si>
    <t>Georgina</t>
  </si>
  <si>
    <t>Komal Jaiswal</t>
  </si>
  <si>
    <t>Rachana</t>
  </si>
  <si>
    <t>Saurav</t>
  </si>
  <si>
    <t>Anand vardhan Lal</t>
  </si>
  <si>
    <t>Adarsh Bhaskar Kulkarni</t>
  </si>
  <si>
    <t>Advaita</t>
  </si>
  <si>
    <t>Tushar Anand</t>
  </si>
  <si>
    <t>Rishab Chowdhary</t>
  </si>
  <si>
    <t>Shalina</t>
  </si>
  <si>
    <t>Yash Agrawal</t>
  </si>
  <si>
    <t>Column 20</t>
  </si>
  <si>
    <t>Total</t>
  </si>
  <si>
    <t>Mustard Oil - Organic</t>
  </si>
  <si>
    <t>Mustard Oil - Regular</t>
  </si>
  <si>
    <t>Groundnut Oil - Organic</t>
  </si>
  <si>
    <t>Groundnut Oil - Regular</t>
  </si>
  <si>
    <t>Sunflower Oil - Organic</t>
  </si>
  <si>
    <t>Coconut Oil - Regular</t>
  </si>
  <si>
    <t>Sesame Oil - Regular</t>
  </si>
  <si>
    <t>A2 Ghee Gir Cow</t>
  </si>
  <si>
    <t>Chana Dal- Organic</t>
  </si>
  <si>
    <t>Moong Dal - Organic</t>
  </si>
  <si>
    <t>Tuar Dal - Organic</t>
  </si>
  <si>
    <t>Masoor Dal- Organic</t>
  </si>
  <si>
    <t>Basmati Rice- Organic</t>
  </si>
  <si>
    <t>Sona Masoori Rice - Organic</t>
  </si>
  <si>
    <t>JeeraPhool Rice - Organic</t>
  </si>
  <si>
    <t>Khapli Aata - Regular</t>
  </si>
  <si>
    <t>Whole Spices - Organic</t>
  </si>
  <si>
    <t>Ground Spices - Organic</t>
  </si>
  <si>
    <t>Coconut Husk</t>
  </si>
  <si>
    <t>Discount</t>
  </si>
  <si>
    <t>Discount %</t>
  </si>
  <si>
    <t>Margin</t>
  </si>
  <si>
    <t>Transport cost</t>
  </si>
  <si>
    <t>Net margin</t>
  </si>
  <si>
    <t>Customer name</t>
  </si>
  <si>
    <t>Inv No.</t>
  </si>
  <si>
    <t>Order details/ Prod Name</t>
  </si>
  <si>
    <t>MRP (in INR)</t>
  </si>
  <si>
    <t>Units</t>
  </si>
  <si>
    <t>Item Discount</t>
  </si>
  <si>
    <t>Total price/item (in INR)</t>
  </si>
  <si>
    <t>GAPL_0626_0001</t>
  </si>
  <si>
    <t>Prod 1</t>
  </si>
  <si>
    <t>Mrp</t>
  </si>
  <si>
    <t>unit</t>
  </si>
  <si>
    <t>Input Number</t>
  </si>
  <si>
    <t>Prod 2</t>
  </si>
  <si>
    <t xml:space="preserve"> Prod 3</t>
  </si>
  <si>
    <t>Total Discount</t>
  </si>
  <si>
    <t>TotalItems</t>
  </si>
  <si>
    <t>TotalValue</t>
  </si>
  <si>
    <t>Publish PDF Invoice</t>
  </si>
  <si>
    <t>HSN</t>
  </si>
  <si>
    <t>Selling Price</t>
  </si>
  <si>
    <t>D2C Transport Cost</t>
  </si>
  <si>
    <t>Margin 2</t>
  </si>
  <si>
    <t>-</t>
  </si>
  <si>
    <t>Purnavah — Landed Cost &amp; Pricing Master (June 2026)</t>
  </si>
  <si>
    <t>Blue = hardcoded input | Black = formula | Freight apportioned by invoice value share | IGST excluded (recoverable ITC)</t>
  </si>
  <si>
    <t>Product</t>
  </si>
  <si>
    <t>Supplier</t>
  </si>
  <si>
    <t>Unit</t>
  </si>
  <si>
    <t>Inv Rate
 (excl tax)</t>
  </si>
  <si>
    <t>Qty
 Purchased</t>
  </si>
  <si>
    <t>Invoice
 Value ()</t>
  </si>
  <si>
    <t>Freight
 Allocated ()</t>
  </si>
  <si>
    <t>Total
 Landed ()</t>
  </si>
  <si>
    <t>Landed /
 Unit ()</t>
  </si>
  <si>
    <t>MRP ()</t>
  </si>
  <si>
    <t>Selling
 Price ()</t>
  </si>
  <si>
    <t>Gross
 Margin %</t>
  </si>
  <si>
    <t>Freight Assumptions</t>
  </si>
  <si>
    <t>GRAMINN ORGANIK LINE</t>
  </si>
  <si>
    <t>Gavyadhar — invoice transport+packing</t>
  </si>
  <si>
    <t>Mustard Oil</t>
  </si>
  <si>
    <t>Graminn</t>
  </si>
  <si>
    <t>1 L</t>
  </si>
  <si>
    <t>Gavyadhar — additional Delhivery</t>
  </si>
  <si>
    <t>Groundnut Oil</t>
  </si>
  <si>
    <t>Gavyadhar total freight</t>
  </si>
  <si>
    <t>Coconut Oil</t>
  </si>
  <si>
    <t>100 ml</t>
  </si>
  <si>
    <t>Gavyadhar invoice product total</t>
  </si>
  <si>
    <t>Sesame Oil</t>
  </si>
  <si>
    <t>Graminn — VRL freight (6700+1900+100)</t>
  </si>
  <si>
    <t>A2 Bilona Ghee</t>
  </si>
  <si>
    <t>Graminn invoice product total</t>
  </si>
  <si>
    <t>Khapli Flour</t>
  </si>
  <si>
    <t>1 kg</t>
  </si>
  <si>
    <t>Packaging total (incl GST 18% + ₹50 extra)</t>
  </si>
  <si>
    <t>2 kg</t>
  </si>
  <si>
    <t>GAVYADHAR ORGANIC LINE</t>
  </si>
  <si>
    <t>Gavyadhar</t>
  </si>
  <si>
    <t>Sunflower Oil</t>
  </si>
  <si>
    <t>Chana Dal</t>
  </si>
  <si>
    <t>Tuar Dal</t>
  </si>
  <si>
    <t>Masoor Dal</t>
  </si>
  <si>
    <t>Moong Dal</t>
  </si>
  <si>
    <t>Sona Masoori Rice</t>
  </si>
  <si>
    <t>Basmati Rice</t>
  </si>
  <si>
    <t>OWN PRODUCE — GAPL FARM</t>
  </si>
  <si>
    <t>JeeraPhool Rice</t>
  </si>
  <si>
    <t>GAPL Farm</t>
  </si>
  <si>
    <t>—</t>
  </si>
  <si>
    <t>VishnuBhog Rice</t>
  </si>
  <si>
    <t>GAPL/Procure</t>
  </si>
  <si>
    <t>TBD</t>
  </si>
  <si>
    <t>WHOLE SPICE BUNDLE (Gavyadhar)</t>
  </si>
  <si>
    <t>Jeera Seed</t>
  </si>
  <si>
    <t>0.5 kg</t>
  </si>
  <si>
    <t>Rai/Mustard Seed</t>
  </si>
  <si>
    <t>Methi Seed</t>
  </si>
  <si>
    <t>Coriander Whole</t>
  </si>
  <si>
    <t>Kali Mirch</t>
  </si>
  <si>
    <t>Whole Bundle MRP / Sell</t>
  </si>
  <si>
    <t>bundle</t>
  </si>
  <si>
    <t>GROUND SPICE BUNDLE (Gavyadhar)</t>
  </si>
  <si>
    <t>Red Chilly Powder</t>
  </si>
  <si>
    <t>3 kg</t>
  </si>
  <si>
    <t>Haldi Powder</t>
  </si>
  <si>
    <t>Coriander Powder</t>
  </si>
  <si>
    <t>Jeera Powder</t>
  </si>
  <si>
    <t>Ground Bundle MRP / Sell</t>
  </si>
  <si>
    <t>PACKAGING MATERIAL (Vijay)</t>
  </si>
  <si>
    <t>Poly Bag 3.5×6</t>
  </si>
  <si>
    <t>Vijay Pkg</t>
  </si>
  <si>
    <t>1000 pcs</t>
  </si>
  <si>
    <t>Poly Bag 5×8</t>
  </si>
  <si>
    <t>Poly Bag 7×11</t>
  </si>
  <si>
    <t>400 pcs</t>
  </si>
  <si>
    <t>2 pcs</t>
  </si>
  <si>
    <t>Free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</si>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</sst>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₹]#,##0.00"/>
    <numFmt numFmtId="165" formatCode="0.0%"/>
  </numFmts>
  <fonts count="15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1"/>
      <color theme="1"/>
      <name val="&quot;Aptos Narrow&quot;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sz val="11"/>
      <color rgb="FF000000"/>
      <name val="Calibri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9"/>
      <color theme="1"/>
      <name val="Cambria"/>
      <family val="1"/>
    </font>
    <font>
      <b/>
      <sz val="10"/>
      <color rgb="FF1C3A2A"/>
      <name val="Arial"/>
      <family val="2"/>
    </font>
    <font>
      <sz val="10"/>
      <color rgb="FF0000CC"/>
      <name val="Arial"/>
      <family val="2"/>
    </font>
    <font>
      <sz val="10"/>
      <color rgb="FF66666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C3A2A"/>
        <bgColor rgb="FF1C3A2A"/>
      </patternFill>
    </fill>
    <fill>
      <patternFill patternType="solid">
        <fgColor rgb="FFD6E4DA"/>
        <bgColor rgb="FFD6E4DA"/>
      </patternFill>
    </fill>
    <fill>
      <patternFill patternType="solid">
        <fgColor rgb="FFF5FAF6"/>
        <bgColor rgb="FFF5FAF6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4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164" fontId="5" fillId="0" borderId="0" xfId="0" applyNumberFormat="1" applyFont="1" applyAlignment="1">
      <alignment vertical="center"/>
    </xf>
    <xf numFmtId="1" fontId="2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" fontId="3" fillId="0" borderId="0" xfId="0" applyNumberFormat="1" applyFont="1"/>
    <xf numFmtId="0" fontId="5" fillId="0" borderId="0" xfId="0" applyFont="1" applyAlignment="1">
      <alignment vertical="center"/>
    </xf>
    <xf numFmtId="49" fontId="4" fillId="0" borderId="0" xfId="0" applyNumberFormat="1" applyFont="1"/>
    <xf numFmtId="164" fontId="3" fillId="0" borderId="0" xfId="0" applyNumberFormat="1" applyFont="1" applyAlignment="1">
      <alignment horizontal="right"/>
    </xf>
    <xf numFmtId="164" fontId="3" fillId="0" borderId="0" xfId="0" applyNumberFormat="1" applyFont="1"/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164" fontId="5" fillId="0" borderId="0" xfId="0" applyNumberFormat="1" applyFont="1"/>
    <xf numFmtId="0" fontId="8" fillId="0" borderId="0" xfId="0" applyFont="1"/>
    <xf numFmtId="0" fontId="10" fillId="3" borderId="0" xfId="0" applyFont="1" applyFill="1" applyAlignment="1">
      <alignment horizontal="center"/>
    </xf>
    <xf numFmtId="0" fontId="11" fillId="0" borderId="0" xfId="0" applyFont="1"/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164" fontId="13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10" fontId="6" fillId="2" borderId="0" xfId="0" applyNumberFormat="1" applyFont="1" applyFill="1" applyAlignment="1">
      <alignment horizontal="right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164" fontId="13" fillId="5" borderId="0" xfId="0" applyNumberFormat="1" applyFont="1" applyFill="1" applyAlignment="1">
      <alignment horizontal="right"/>
    </xf>
    <xf numFmtId="0" fontId="13" fillId="5" borderId="0" xfId="0" applyFont="1" applyFill="1" applyAlignment="1">
      <alignment horizontal="right"/>
    </xf>
    <xf numFmtId="10" fontId="6" fillId="5" borderId="0" xfId="0" applyNumberFormat="1" applyFont="1" applyFill="1" applyAlignment="1">
      <alignment horizontal="right"/>
    </xf>
    <xf numFmtId="0" fontId="14" fillId="5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8" fillId="5" borderId="0" xfId="0" applyFont="1" applyFill="1"/>
    <xf numFmtId="0" fontId="8" fillId="2" borderId="0" xfId="0" applyFont="1" applyFill="1"/>
    <xf numFmtId="3" fontId="13" fillId="2" borderId="0" xfId="0" applyNumberFormat="1" applyFont="1" applyFill="1" applyAlignment="1">
      <alignment horizontal="right"/>
    </xf>
    <xf numFmtId="3" fontId="13" fillId="5" borderId="0" xfId="0" applyNumberFormat="1" applyFont="1" applyFill="1" applyAlignment="1">
      <alignment horizontal="right"/>
    </xf>
    <xf numFmtId="0" fontId="7" fillId="3" borderId="0" xfId="0" applyFont="1" applyFill="1" applyAlignment="1">
      <alignment horizontal="center"/>
    </xf>
    <xf numFmtId="0" fontId="0" fillId="0" borderId="0" xfId="0"/>
    <xf numFmtId="0" fontId="9" fillId="0" borderId="0" xfId="0" applyFont="1" applyAlignment="1">
      <alignment horizontal="left"/>
    </xf>
    <xf numFmtId="0" fontId="12" fillId="4" borderId="0" xfId="0" applyFont="1" applyFill="1" applyAlignment="1">
      <alignment horizontal="left"/>
    </xf>
    <xf numFmtId="0" fontId="1" fillId="6" borderId="1" xfId="0" applyFont="1" applyFill="1" applyBorder="1" applyAlignment="1">
      <alignment horizontal="left"/>
    </xf>
    <xf numFmtId="49" fontId="2" fillId="6" borderId="2" xfId="0" applyNumberFormat="1" applyFont="1" applyFill="1" applyBorder="1" applyAlignment="1">
      <alignment horizontal="left"/>
    </xf>
    <xf numFmtId="0" fontId="4" fillId="2" borderId="3" xfId="0" applyFont="1" applyFill="1" applyBorder="1"/>
    <xf numFmtId="164" fontId="5" fillId="2" borderId="0" xfId="0" applyNumberFormat="1" applyFont="1" applyFill="1" applyBorder="1" applyAlignment="1">
      <alignment vertical="center"/>
    </xf>
    <xf numFmtId="0" fontId="4" fillId="7" borderId="3" xfId="0" applyFont="1" applyFill="1" applyBorder="1"/>
    <xf numFmtId="164" fontId="5" fillId="7" borderId="0" xfId="0" applyNumberFormat="1" applyFont="1" applyFill="1" applyBorder="1" applyAlignment="1">
      <alignment vertical="center"/>
    </xf>
    <xf numFmtId="49" fontId="4" fillId="2" borderId="3" xfId="0" applyNumberFormat="1" applyFont="1" applyFill="1" applyBorder="1"/>
    <xf numFmtId="0" fontId="3" fillId="7" borderId="0" xfId="0" applyFont="1" applyFill="1" applyBorder="1" applyAlignment="1">
      <alignment horizontal="right"/>
    </xf>
    <xf numFmtId="0" fontId="2" fillId="2" borderId="3" xfId="0" applyFont="1" applyFill="1" applyBorder="1"/>
    <xf numFmtId="0" fontId="3" fillId="2" borderId="0" xfId="0" applyFont="1" applyFill="1" applyBorder="1"/>
    <xf numFmtId="0" fontId="2" fillId="7" borderId="3" xfId="0" applyFont="1" applyFill="1" applyBorder="1"/>
    <xf numFmtId="0" fontId="3" fillId="7" borderId="0" xfId="0" applyFont="1" applyFill="1" applyBorder="1"/>
    <xf numFmtId="49" fontId="2" fillId="6" borderId="0" xfId="0" applyNumberFormat="1" applyFont="1" applyFill="1" applyBorder="1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10"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38761D"/>
      </font>
      <fill>
        <patternFill patternType="none"/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Order June 26-style" pivot="0" count="4" xr9:uid="{00000000-0011-0000-FFFF-FFFF00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June 26 Price List-style" pivot="0" count="4" xr9:uid="{00000000-0011-0000-FFFF-FFFF01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986">
  <tableColumns count="24">
    <tableColumn id="1" xr3:uid="{00000000-0010-0000-0000-000001000000}" name="Product Name"/>
    <tableColumn id="2" xr3:uid="{00000000-0010-0000-0000-000002000000}" name="Landing Cost"/>
    <tableColumn id="3" xr3:uid="{00000000-0010-0000-0000-000003000000}" name="MRP"/>
    <tableColumn id="4" xr3:uid="{00000000-0010-0000-0000-000004000000}" name="Price/unit"/>
    <tableColumn id="5" xr3:uid="{00000000-0010-0000-0000-000005000000}" name="Kumar Saurav"/>
    <tableColumn id="6" xr3:uid="{00000000-0010-0000-0000-000006000000}" name="Sandhya"/>
    <tableColumn id="7" xr3:uid="{00000000-0010-0000-0000-000007000000}" name="Vishal Sinha"/>
    <tableColumn id="8" xr3:uid="{00000000-0010-0000-0000-000008000000}" name="Anindya Padhy"/>
    <tableColumn id="9" xr3:uid="{00000000-0010-0000-0000-000009000000}" name="Sonali Chatterjee"/>
    <tableColumn id="10" xr3:uid="{00000000-0010-0000-0000-00000A000000}" name="Digvijay"/>
    <tableColumn id="11" xr3:uid="{00000000-0010-0000-0000-00000B000000}" name="Sonal Jaiswal"/>
    <tableColumn id="12" xr3:uid="{00000000-0010-0000-0000-00000C000000}" name="Georgina"/>
    <tableColumn id="13" xr3:uid="{00000000-0010-0000-0000-00000D000000}" name="Komal Jaiswal"/>
    <tableColumn id="14" xr3:uid="{00000000-0010-0000-0000-00000E000000}" name="Rachana"/>
    <tableColumn id="15" xr3:uid="{00000000-0010-0000-0000-00000F000000}" name="Saurav"/>
    <tableColumn id="16" xr3:uid="{00000000-0010-0000-0000-000010000000}" name="Anand vardhan Lal"/>
    <tableColumn id="17" xr3:uid="{00000000-0010-0000-0000-000011000000}" name="Adarsh Bhaskar Kulkarni"/>
    <tableColumn id="18" xr3:uid="{00000000-0010-0000-0000-000012000000}" name="Advaita"/>
    <tableColumn id="19" xr3:uid="{00000000-0010-0000-0000-000013000000}" name="Tushar Anand"/>
    <tableColumn id="20" xr3:uid="{00000000-0010-0000-0000-000014000000}" name="Rishab Chowdhary"/>
    <tableColumn id="21" xr3:uid="{00000000-0010-0000-0000-000015000000}" name="Shalina"/>
    <tableColumn id="22" xr3:uid="{00000000-0010-0000-0000-000016000000}" name="Yash Agrawal"/>
    <tableColumn id="23" xr3:uid="{00000000-0010-0000-0000-000017000000}" name="Column 20"/>
    <tableColumn id="24" xr3:uid="{00000000-0010-0000-0000-000018000000}" name="Total"/>
  </tableColumns>
  <tableStyleInfo name="Order June 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t_Price_Table" displayName="Produt_Price_Table" ref="A1:I20">
  <tableColumns count="9">
    <tableColumn id="1" xr3:uid="{00000000-0010-0000-0100-000001000000}" name="Product Name"/>
    <tableColumn id="2" xr3:uid="{00000000-0010-0000-0100-000002000000}" name="HSN"/>
    <tableColumn id="3" xr3:uid="{00000000-0010-0000-0100-000003000000}" name="Landing Cost"/>
    <tableColumn id="4" xr3:uid="{00000000-0010-0000-0100-000004000000}" name="MRP"/>
    <tableColumn id="5" xr3:uid="{00000000-0010-0000-0100-000005000000}" name="Selling Price"/>
    <tableColumn id="6" xr3:uid="{00000000-0010-0000-0100-000006000000}" name="Discount %"/>
    <tableColumn id="7" xr3:uid="{00000000-0010-0000-0100-000007000000}" name="D2C Transport Cost"/>
    <tableColumn id="8" xr3:uid="{00000000-0010-0000-0100-000008000000}" name="Margin"/>
    <tableColumn id="9" xr3:uid="{00000000-0010-0000-0100-000009000000}" name="Margin 2"/>
  </tableColumns>
  <tableStyleInfo name="June 26 Price 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86"/>
  <sheetViews>
    <sheetView workbookViewId="0">
      <pane xSplit="4" ySplit="1" topLeftCell="E6" activePane="bottomRight" state="frozen"/>
      <selection pane="topRight" activeCell="E1" sqref="E1"/>
      <selection pane="bottomLeft" activeCell="A2" sqref="A2"/>
      <selection pane="bottomRight" sqref="A1:D26"/>
    </sheetView>
  </sheetViews>
  <sheetFormatPr defaultColWidth="12.6328125" defaultRowHeight="15.75" customHeight="1"/>
  <cols>
    <col min="1" max="1" width="22.26953125" customWidth="1"/>
    <col min="2" max="2" width="15.453125" customWidth="1"/>
    <col min="3" max="3" width="15.36328125" customWidth="1"/>
    <col min="4" max="4" width="14.08984375" customWidth="1"/>
    <col min="5" max="5" width="22.90625" customWidth="1"/>
    <col min="6" max="6" width="22.7265625" customWidth="1"/>
    <col min="7" max="7" width="24.90625" customWidth="1"/>
    <col min="8" max="8" width="24.7265625" customWidth="1"/>
    <col min="9" max="9" width="24.453125" customWidth="1"/>
    <col min="10" max="11" width="23.08984375" customWidth="1"/>
    <col min="12" max="12" width="19.6328125" customWidth="1"/>
    <col min="13" max="13" width="21.7265625" customWidth="1"/>
    <col min="14" max="14" width="22.26953125" customWidth="1"/>
    <col min="15" max="15" width="20.453125" customWidth="1"/>
    <col min="16" max="16" width="22.36328125" customWidth="1"/>
    <col min="17" max="17" width="24.08984375" customWidth="1"/>
    <col min="18" max="18" width="29" customWidth="1"/>
    <col min="19" max="19" width="27" customWidth="1"/>
    <col min="20" max="20" width="22.6328125" customWidth="1"/>
    <col min="21" max="21" width="25" customWidth="1"/>
    <col min="22" max="22" width="25.7265625" customWidth="1"/>
    <col min="23" max="23" width="15.453125" customWidth="1"/>
  </cols>
  <sheetData>
    <row r="1" spans="1:24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6" t="s">
        <v>23</v>
      </c>
    </row>
    <row r="2" spans="1:24" ht="22.5" customHeight="1">
      <c r="A2" s="7" t="s">
        <v>24</v>
      </c>
      <c r="B2" s="8">
        <f>'June 26 Price List'!C2</f>
        <v>249.59</v>
      </c>
      <c r="C2" s="8">
        <f>'June 26 Price List'!D2</f>
        <v>440</v>
      </c>
      <c r="D2" s="8">
        <f>'June 26 Price List'!E2</f>
        <v>340</v>
      </c>
      <c r="E2" s="9">
        <v>0</v>
      </c>
      <c r="F2" s="10">
        <v>0</v>
      </c>
      <c r="G2" s="10">
        <v>0</v>
      </c>
      <c r="H2" s="10">
        <v>0</v>
      </c>
      <c r="I2" s="10">
        <v>2</v>
      </c>
      <c r="J2" s="10">
        <v>0</v>
      </c>
      <c r="K2" s="10">
        <v>1</v>
      </c>
      <c r="L2" s="10">
        <v>0</v>
      </c>
      <c r="M2" s="10">
        <v>2</v>
      </c>
      <c r="N2" s="10">
        <v>1</v>
      </c>
      <c r="O2" s="10">
        <v>0</v>
      </c>
      <c r="P2" s="10">
        <v>0</v>
      </c>
      <c r="Q2" s="10">
        <v>0</v>
      </c>
      <c r="R2" s="10">
        <v>0</v>
      </c>
      <c r="S2" s="11"/>
      <c r="T2" s="11"/>
      <c r="U2" s="11"/>
      <c r="V2" s="11"/>
      <c r="W2" s="11"/>
      <c r="X2" s="12"/>
    </row>
    <row r="3" spans="1:24" ht="22.5" customHeight="1">
      <c r="A3" s="7" t="s">
        <v>25</v>
      </c>
      <c r="B3" s="8">
        <f>'June 26 Price List'!C3</f>
        <v>240.75</v>
      </c>
      <c r="C3" s="8">
        <f>'June 26 Price List'!D3</f>
        <v>310</v>
      </c>
      <c r="D3" s="8">
        <f>'June 26 Price List'!E3</f>
        <v>285</v>
      </c>
      <c r="E3" s="13">
        <v>1</v>
      </c>
      <c r="F3" s="10">
        <v>2</v>
      </c>
      <c r="G3" s="10">
        <v>2</v>
      </c>
      <c r="H3" s="10">
        <v>2</v>
      </c>
      <c r="I3" s="11"/>
      <c r="J3" s="10">
        <v>2</v>
      </c>
      <c r="K3" s="10">
        <v>0</v>
      </c>
      <c r="L3" s="10">
        <v>0</v>
      </c>
      <c r="M3" s="10">
        <v>0</v>
      </c>
      <c r="N3" s="10">
        <v>0</v>
      </c>
      <c r="O3" s="10">
        <v>2</v>
      </c>
      <c r="P3" s="10">
        <v>2</v>
      </c>
      <c r="Q3" s="10">
        <v>0</v>
      </c>
      <c r="R3" s="10">
        <v>1</v>
      </c>
      <c r="S3" s="11"/>
      <c r="T3" s="11"/>
      <c r="U3" s="11"/>
      <c r="V3" s="11"/>
      <c r="W3" s="11"/>
      <c r="X3" s="10"/>
    </row>
    <row r="4" spans="1:24" ht="22.5" customHeight="1">
      <c r="A4" s="7" t="s">
        <v>26</v>
      </c>
      <c r="B4" s="8">
        <f>'June 26 Price List'!C4</f>
        <v>257.99</v>
      </c>
      <c r="C4" s="8">
        <f>'June 26 Price List'!D4</f>
        <v>469</v>
      </c>
      <c r="D4" s="8">
        <f>'June 26 Price List'!E4</f>
        <v>350</v>
      </c>
      <c r="E4" s="9">
        <v>0</v>
      </c>
      <c r="F4" s="10">
        <v>0</v>
      </c>
      <c r="G4" s="10">
        <v>0</v>
      </c>
      <c r="H4" s="10">
        <v>0</v>
      </c>
      <c r="I4" s="10">
        <v>1</v>
      </c>
      <c r="J4" s="10">
        <v>0</v>
      </c>
      <c r="K4" s="10">
        <v>1</v>
      </c>
      <c r="L4" s="10">
        <v>0</v>
      </c>
      <c r="M4" s="10">
        <v>0</v>
      </c>
      <c r="N4" s="10">
        <v>1</v>
      </c>
      <c r="O4" s="10">
        <v>0</v>
      </c>
      <c r="P4" s="10">
        <v>0</v>
      </c>
      <c r="Q4" s="10">
        <v>0</v>
      </c>
      <c r="R4" s="10">
        <v>0</v>
      </c>
      <c r="S4" s="11"/>
      <c r="T4" s="11"/>
      <c r="U4" s="11"/>
      <c r="V4" s="11"/>
      <c r="W4" s="11"/>
      <c r="X4" s="10"/>
    </row>
    <row r="5" spans="1:24" ht="22.5" customHeight="1">
      <c r="A5" s="7" t="s">
        <v>27</v>
      </c>
      <c r="B5" s="8">
        <f>'June 26 Price List'!C5</f>
        <v>278.20999999999998</v>
      </c>
      <c r="C5" s="8">
        <f>'June 26 Price List'!D5</f>
        <v>339</v>
      </c>
      <c r="D5" s="8">
        <f>'June 26 Price List'!E5</f>
        <v>325</v>
      </c>
      <c r="E5" s="13">
        <v>1</v>
      </c>
      <c r="F5" s="10">
        <v>1</v>
      </c>
      <c r="G5" s="10">
        <v>2</v>
      </c>
      <c r="H5" s="10">
        <v>1</v>
      </c>
      <c r="I5" s="11"/>
      <c r="J5" s="10">
        <v>2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1</v>
      </c>
      <c r="Q5" s="10">
        <v>0</v>
      </c>
      <c r="R5" s="10">
        <v>1</v>
      </c>
      <c r="S5" s="11"/>
      <c r="T5" s="11"/>
      <c r="U5" s="11"/>
      <c r="V5" s="11"/>
      <c r="W5" s="11"/>
      <c r="X5" s="10"/>
    </row>
    <row r="6" spans="1:24" ht="22.5" customHeight="1">
      <c r="A6" s="7" t="s">
        <v>28</v>
      </c>
      <c r="B6" s="8">
        <f>'June 26 Price List'!C6</f>
        <v>262.79000000000002</v>
      </c>
      <c r="C6" s="8">
        <f>'June 26 Price List'!D6</f>
        <v>469</v>
      </c>
      <c r="D6" s="8">
        <f>'June 26 Price List'!E6</f>
        <v>350</v>
      </c>
      <c r="E6" s="13">
        <v>1</v>
      </c>
      <c r="F6" s="10">
        <v>1</v>
      </c>
      <c r="G6" s="10">
        <v>2</v>
      </c>
      <c r="H6" s="10">
        <v>1</v>
      </c>
      <c r="I6" s="10">
        <v>1</v>
      </c>
      <c r="J6" s="10">
        <v>1</v>
      </c>
      <c r="K6" s="10">
        <v>0</v>
      </c>
      <c r="L6" s="10">
        <v>2</v>
      </c>
      <c r="M6" s="10">
        <v>0</v>
      </c>
      <c r="N6" s="10">
        <v>1</v>
      </c>
      <c r="O6" s="10">
        <v>1</v>
      </c>
      <c r="P6" s="10">
        <v>1</v>
      </c>
      <c r="Q6" s="10">
        <v>2</v>
      </c>
      <c r="R6" s="10">
        <v>0</v>
      </c>
      <c r="S6" s="11"/>
      <c r="T6" s="11"/>
      <c r="U6" s="11"/>
      <c r="V6" s="11"/>
      <c r="W6" s="11"/>
      <c r="X6" s="10"/>
    </row>
    <row r="7" spans="1:24" ht="22.5" customHeight="1">
      <c r="A7" s="7" t="s">
        <v>29</v>
      </c>
      <c r="B7" s="8">
        <f>'June 26 Price List'!C7</f>
        <v>60.99</v>
      </c>
      <c r="C7" s="8">
        <f>'June 26 Price List'!D7</f>
        <v>159</v>
      </c>
      <c r="D7" s="8">
        <f>'June 26 Price List'!E7</f>
        <v>109</v>
      </c>
      <c r="E7" s="13">
        <v>1</v>
      </c>
      <c r="F7" s="10">
        <v>5</v>
      </c>
      <c r="G7" s="10">
        <v>1</v>
      </c>
      <c r="H7" s="10">
        <v>1</v>
      </c>
      <c r="I7" s="10">
        <v>1</v>
      </c>
      <c r="J7" s="10">
        <v>5</v>
      </c>
      <c r="K7" s="10">
        <v>0</v>
      </c>
      <c r="L7" s="10">
        <v>5</v>
      </c>
      <c r="M7" s="10">
        <v>5</v>
      </c>
      <c r="N7" s="10">
        <v>5</v>
      </c>
      <c r="O7" s="10">
        <v>5</v>
      </c>
      <c r="P7" s="10">
        <v>1</v>
      </c>
      <c r="Q7" s="10">
        <v>0</v>
      </c>
      <c r="R7" s="10">
        <v>5</v>
      </c>
      <c r="S7" s="11"/>
      <c r="T7" s="11"/>
      <c r="U7" s="11"/>
      <c r="V7" s="11"/>
      <c r="W7" s="11"/>
      <c r="X7" s="10"/>
    </row>
    <row r="8" spans="1:24" ht="22.5" customHeight="1">
      <c r="A8" s="7" t="s">
        <v>30</v>
      </c>
      <c r="B8" s="8">
        <f>'June 26 Price List'!C8</f>
        <v>42.8</v>
      </c>
      <c r="C8" s="8">
        <f>'June 26 Price List'!D8</f>
        <v>159</v>
      </c>
      <c r="D8" s="8">
        <f>'June 26 Price List'!E8</f>
        <v>109</v>
      </c>
      <c r="E8" s="13">
        <v>1</v>
      </c>
      <c r="F8" s="10">
        <v>5</v>
      </c>
      <c r="G8" s="10">
        <v>1</v>
      </c>
      <c r="H8" s="10">
        <v>1</v>
      </c>
      <c r="I8" s="10">
        <v>1</v>
      </c>
      <c r="J8" s="10">
        <v>5</v>
      </c>
      <c r="K8" s="10">
        <v>5</v>
      </c>
      <c r="L8" s="10">
        <v>0</v>
      </c>
      <c r="M8" s="10">
        <v>5</v>
      </c>
      <c r="N8" s="10">
        <v>0</v>
      </c>
      <c r="O8" s="10">
        <v>5</v>
      </c>
      <c r="P8" s="10">
        <v>1</v>
      </c>
      <c r="Q8" s="10">
        <v>0</v>
      </c>
      <c r="R8" s="10">
        <v>5</v>
      </c>
      <c r="S8" s="11"/>
      <c r="T8" s="11"/>
      <c r="U8" s="11"/>
      <c r="V8" s="11"/>
      <c r="W8" s="11"/>
      <c r="X8" s="10"/>
    </row>
    <row r="9" spans="1:24" ht="22.5" customHeight="1">
      <c r="A9" s="7" t="s">
        <v>31</v>
      </c>
      <c r="B9" s="8">
        <f>'June 26 Price List'!C9</f>
        <v>1284.02</v>
      </c>
      <c r="C9" s="8">
        <f>'June 26 Price List'!D9</f>
        <v>2099</v>
      </c>
      <c r="D9" s="8">
        <f>'June 26 Price List'!E9</f>
        <v>1699</v>
      </c>
      <c r="E9" s="13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1"/>
      <c r="T9" s="11"/>
      <c r="U9" s="11"/>
      <c r="V9" s="11"/>
      <c r="W9" s="11"/>
      <c r="X9" s="10"/>
    </row>
    <row r="10" spans="1:24" ht="22.5" customHeight="1">
      <c r="A10" s="7" t="s">
        <v>32</v>
      </c>
      <c r="B10" s="8">
        <f>'June 26 Price List'!C10</f>
        <v>96</v>
      </c>
      <c r="C10" s="8">
        <f>'June 26 Price List'!D10</f>
        <v>189</v>
      </c>
      <c r="D10" s="8">
        <f>'June 26 Price List'!E10</f>
        <v>150</v>
      </c>
      <c r="E10" s="9">
        <v>0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  <c r="L10" s="10">
        <v>0.5</v>
      </c>
      <c r="M10" s="10">
        <v>0.5</v>
      </c>
      <c r="N10" s="10">
        <v>1</v>
      </c>
      <c r="O10" s="10">
        <v>1</v>
      </c>
      <c r="P10" s="10">
        <v>1</v>
      </c>
      <c r="Q10" s="10">
        <v>0</v>
      </c>
      <c r="R10" s="10">
        <v>0.5</v>
      </c>
      <c r="S10" s="11"/>
      <c r="T10" s="11"/>
      <c r="U10" s="11"/>
      <c r="V10" s="11"/>
      <c r="W10" s="11"/>
      <c r="X10" s="10"/>
    </row>
    <row r="11" spans="1:24" ht="22.5" customHeight="1">
      <c r="A11" s="7" t="s">
        <v>33</v>
      </c>
      <c r="B11" s="8">
        <f>'June 26 Price List'!C11</f>
        <v>136.79</v>
      </c>
      <c r="C11" s="8">
        <f>'June 26 Price List'!D11</f>
        <v>219</v>
      </c>
      <c r="D11" s="8">
        <f>'June 26 Price List'!E11</f>
        <v>180</v>
      </c>
      <c r="E11" s="9">
        <v>0</v>
      </c>
      <c r="F11" s="14">
        <v>0</v>
      </c>
      <c r="G11" s="10">
        <v>1</v>
      </c>
      <c r="H11" s="10">
        <v>1</v>
      </c>
      <c r="I11" s="10">
        <v>1</v>
      </c>
      <c r="J11" s="10">
        <v>2</v>
      </c>
      <c r="K11" s="10">
        <v>1</v>
      </c>
      <c r="L11" s="10">
        <v>1</v>
      </c>
      <c r="M11" s="10">
        <v>1</v>
      </c>
      <c r="N11" s="10">
        <v>0</v>
      </c>
      <c r="O11" s="10">
        <v>1</v>
      </c>
      <c r="P11" s="10">
        <v>1</v>
      </c>
      <c r="Q11" s="10">
        <v>0</v>
      </c>
      <c r="R11" s="10">
        <v>1</v>
      </c>
      <c r="S11" s="11"/>
      <c r="T11" s="11"/>
      <c r="U11" s="11"/>
      <c r="V11" s="11"/>
      <c r="W11" s="11"/>
      <c r="X11" s="10"/>
    </row>
    <row r="12" spans="1:24" ht="22.5" customHeight="1">
      <c r="A12" s="7" t="s">
        <v>34</v>
      </c>
      <c r="B12" s="8">
        <f>'June 26 Price List'!C12</f>
        <v>166.79</v>
      </c>
      <c r="C12" s="8">
        <f>'June 26 Price List'!D12</f>
        <v>239</v>
      </c>
      <c r="D12" s="8">
        <f>'June 26 Price List'!E12</f>
        <v>199</v>
      </c>
      <c r="E12" s="9">
        <v>0</v>
      </c>
      <c r="F12" s="10">
        <v>0</v>
      </c>
      <c r="G12" s="10">
        <v>1</v>
      </c>
      <c r="H12" s="10">
        <v>1</v>
      </c>
      <c r="I12" s="10">
        <v>1</v>
      </c>
      <c r="J12" s="10">
        <v>0</v>
      </c>
      <c r="K12" s="10">
        <v>1</v>
      </c>
      <c r="L12" s="10">
        <v>0.5</v>
      </c>
      <c r="M12" s="10">
        <v>1</v>
      </c>
      <c r="N12" s="10">
        <v>1</v>
      </c>
      <c r="O12" s="10">
        <v>1</v>
      </c>
      <c r="P12" s="10">
        <v>1</v>
      </c>
      <c r="Q12" s="10">
        <v>2</v>
      </c>
      <c r="R12" s="10">
        <v>1</v>
      </c>
      <c r="S12" s="11"/>
      <c r="T12" s="11"/>
      <c r="U12" s="11"/>
      <c r="V12" s="11"/>
      <c r="W12" s="11"/>
      <c r="X12" s="10"/>
    </row>
    <row r="13" spans="1:24" ht="22.5" customHeight="1">
      <c r="A13" s="7" t="s">
        <v>35</v>
      </c>
      <c r="B13" s="8">
        <f>'June 26 Price List'!C13</f>
        <v>116.39</v>
      </c>
      <c r="C13" s="8">
        <f>'June 26 Price List'!D13</f>
        <v>219</v>
      </c>
      <c r="D13" s="8">
        <f>'June 26 Price List'!E13</f>
        <v>180</v>
      </c>
      <c r="E13" s="13">
        <v>2</v>
      </c>
      <c r="F13" s="10">
        <v>2</v>
      </c>
      <c r="G13" s="10">
        <v>1</v>
      </c>
      <c r="H13" s="10">
        <v>0</v>
      </c>
      <c r="I13" s="10">
        <v>1</v>
      </c>
      <c r="J13" s="10">
        <v>1</v>
      </c>
      <c r="K13" s="10">
        <v>1</v>
      </c>
      <c r="L13" s="10">
        <v>1</v>
      </c>
      <c r="M13" s="10">
        <v>0.5</v>
      </c>
      <c r="N13" s="10">
        <v>2</v>
      </c>
      <c r="O13" s="10">
        <v>1</v>
      </c>
      <c r="P13" s="10">
        <v>1</v>
      </c>
      <c r="Q13" s="10">
        <v>0</v>
      </c>
      <c r="R13" s="10">
        <v>0</v>
      </c>
      <c r="S13" s="11"/>
      <c r="T13" s="11"/>
      <c r="U13" s="11"/>
      <c r="V13" s="11"/>
      <c r="W13" s="11"/>
      <c r="X13" s="10"/>
    </row>
    <row r="14" spans="1:24" ht="22.5" customHeight="1">
      <c r="A14" s="7" t="s">
        <v>36</v>
      </c>
      <c r="B14" s="8">
        <f>'June 26 Price List'!C14</f>
        <v>143.99</v>
      </c>
      <c r="C14" s="8">
        <f>'June 26 Price List'!D14</f>
        <v>210</v>
      </c>
      <c r="D14" s="8">
        <f>'June 26 Price List'!E14</f>
        <v>210</v>
      </c>
      <c r="E14" s="9">
        <v>0</v>
      </c>
      <c r="F14" s="10">
        <v>0</v>
      </c>
      <c r="G14" s="10">
        <v>0.5</v>
      </c>
      <c r="H14" s="10">
        <v>0</v>
      </c>
      <c r="I14" s="10">
        <v>0.5</v>
      </c>
      <c r="J14" s="10">
        <v>0</v>
      </c>
      <c r="K14" s="10">
        <v>0.5</v>
      </c>
      <c r="L14" s="10">
        <v>0.5</v>
      </c>
      <c r="M14" s="10">
        <v>0</v>
      </c>
      <c r="N14" s="10">
        <v>0.5</v>
      </c>
      <c r="O14" s="10">
        <v>0.5</v>
      </c>
      <c r="P14" s="10">
        <v>0.5</v>
      </c>
      <c r="Q14" s="10">
        <v>0</v>
      </c>
      <c r="R14" s="10">
        <v>0.5</v>
      </c>
      <c r="S14" s="11"/>
      <c r="T14" s="11"/>
      <c r="U14" s="11"/>
      <c r="V14" s="11"/>
      <c r="W14" s="11"/>
      <c r="X14" s="10"/>
    </row>
    <row r="15" spans="1:24" ht="22.5" customHeight="1">
      <c r="A15" s="7" t="s">
        <v>37</v>
      </c>
      <c r="B15" s="8">
        <f>'June 26 Price List'!C15</f>
        <v>76.8</v>
      </c>
      <c r="C15" s="8">
        <f>'June 26 Price List'!D15</f>
        <v>139</v>
      </c>
      <c r="D15" s="8">
        <f>'June 26 Price List'!E15</f>
        <v>100</v>
      </c>
      <c r="E15" s="9">
        <v>0</v>
      </c>
      <c r="F15" s="10">
        <v>0</v>
      </c>
      <c r="G15" s="10">
        <v>2</v>
      </c>
      <c r="H15" s="10">
        <v>0</v>
      </c>
      <c r="I15" s="10">
        <v>2</v>
      </c>
      <c r="J15" s="10">
        <v>2</v>
      </c>
      <c r="K15" s="10">
        <v>0</v>
      </c>
      <c r="L15" s="10">
        <v>0</v>
      </c>
      <c r="M15" s="10">
        <v>2</v>
      </c>
      <c r="N15" s="10">
        <v>2</v>
      </c>
      <c r="O15" s="10">
        <v>2</v>
      </c>
      <c r="P15" s="10">
        <v>2</v>
      </c>
      <c r="Q15" s="10">
        <v>0</v>
      </c>
      <c r="R15" s="10">
        <v>1</v>
      </c>
      <c r="S15" s="11"/>
      <c r="T15" s="11"/>
      <c r="U15" s="11"/>
      <c r="V15" s="11"/>
      <c r="W15" s="11"/>
      <c r="X15" s="10"/>
    </row>
    <row r="16" spans="1:24" ht="22.5" customHeight="1">
      <c r="A16" s="7" t="s">
        <v>38</v>
      </c>
      <c r="B16" s="8">
        <f>'June 26 Price List'!C16</f>
        <v>88.23</v>
      </c>
      <c r="C16" s="8">
        <f>'June 26 Price List'!D16</f>
        <v>259</v>
      </c>
      <c r="D16" s="8">
        <f>'June 26 Price List'!E16</f>
        <v>240</v>
      </c>
      <c r="E16" s="9">
        <v>0</v>
      </c>
      <c r="F16" s="10">
        <v>0</v>
      </c>
      <c r="G16" s="10">
        <v>0</v>
      </c>
      <c r="H16" s="10">
        <v>1</v>
      </c>
      <c r="I16" s="10">
        <v>1</v>
      </c>
      <c r="J16" s="10">
        <v>1</v>
      </c>
      <c r="K16" s="10">
        <v>1</v>
      </c>
      <c r="L16" s="10">
        <v>0</v>
      </c>
      <c r="M16" s="10">
        <v>1</v>
      </c>
      <c r="N16" s="10">
        <v>0</v>
      </c>
      <c r="O16" s="10">
        <v>1</v>
      </c>
      <c r="P16" s="10">
        <v>1</v>
      </c>
      <c r="Q16" s="10">
        <v>2</v>
      </c>
      <c r="R16" s="10">
        <v>1</v>
      </c>
      <c r="S16" s="11"/>
      <c r="T16" s="11"/>
      <c r="U16" s="11"/>
      <c r="V16" s="11"/>
      <c r="W16" s="11"/>
      <c r="X16" s="11"/>
    </row>
    <row r="17" spans="1:24" ht="22.5" customHeight="1">
      <c r="A17" s="7" t="s">
        <v>39</v>
      </c>
      <c r="B17" s="8">
        <f>'June 26 Price List'!C17</f>
        <v>101.65</v>
      </c>
      <c r="C17" s="8">
        <f>'June 26 Price List'!D17</f>
        <v>159</v>
      </c>
      <c r="D17" s="8">
        <f>'June 26 Price List'!E17</f>
        <v>149</v>
      </c>
      <c r="E17" s="13">
        <v>2</v>
      </c>
      <c r="F17" s="10">
        <v>5</v>
      </c>
      <c r="G17" s="10">
        <v>2</v>
      </c>
      <c r="H17" s="10">
        <v>2</v>
      </c>
      <c r="I17" s="10">
        <v>2</v>
      </c>
      <c r="J17" s="10">
        <v>1</v>
      </c>
      <c r="K17" s="10">
        <v>2</v>
      </c>
      <c r="L17" s="10">
        <v>2</v>
      </c>
      <c r="M17" s="10">
        <v>2</v>
      </c>
      <c r="N17" s="10">
        <v>2</v>
      </c>
      <c r="O17" s="10">
        <v>2</v>
      </c>
      <c r="P17" s="10">
        <v>2</v>
      </c>
      <c r="Q17" s="10">
        <v>2</v>
      </c>
      <c r="R17" s="10">
        <v>2</v>
      </c>
      <c r="S17" s="11"/>
      <c r="T17" s="11"/>
      <c r="U17" s="11"/>
      <c r="V17" s="11"/>
      <c r="W17" s="11"/>
      <c r="X17" s="11"/>
    </row>
    <row r="18" spans="1:24" ht="22.5" customHeight="1">
      <c r="A18" s="7" t="s">
        <v>40</v>
      </c>
      <c r="B18" s="8">
        <f>'June 26 Price List'!C18</f>
        <v>131.19999999999999</v>
      </c>
      <c r="C18" s="8">
        <f>'June 26 Price List'!D18</f>
        <v>299</v>
      </c>
      <c r="D18" s="8">
        <f>'June 26 Price List'!E18</f>
        <v>250</v>
      </c>
      <c r="E18" s="13">
        <v>1</v>
      </c>
      <c r="F18" s="10">
        <v>1</v>
      </c>
      <c r="G18" s="10">
        <v>1</v>
      </c>
      <c r="H18" s="10">
        <v>1</v>
      </c>
      <c r="I18" s="10">
        <v>1</v>
      </c>
      <c r="J18" s="10">
        <v>1</v>
      </c>
      <c r="K18" s="10">
        <v>1</v>
      </c>
      <c r="L18" s="10">
        <v>1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0</v>
      </c>
      <c r="S18" s="11"/>
      <c r="T18" s="11"/>
      <c r="U18" s="11"/>
      <c r="V18" s="11"/>
      <c r="W18" s="11"/>
      <c r="X18" s="7"/>
    </row>
    <row r="19" spans="1:24" ht="22.5" customHeight="1">
      <c r="A19" s="7" t="s">
        <v>41</v>
      </c>
      <c r="B19" s="8">
        <f>'June 26 Price List'!C19</f>
        <v>134.5</v>
      </c>
      <c r="C19" s="8">
        <f>'June 26 Price List'!D19</f>
        <v>299</v>
      </c>
      <c r="D19" s="8">
        <f>'June 26 Price List'!E19</f>
        <v>250</v>
      </c>
      <c r="E19" s="13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1</v>
      </c>
      <c r="S19" s="11"/>
      <c r="T19" s="11"/>
      <c r="U19" s="11"/>
      <c r="V19" s="11"/>
      <c r="W19" s="11"/>
      <c r="X19" s="12"/>
    </row>
    <row r="20" spans="1:24" ht="22.5" customHeight="1">
      <c r="A20" s="15" t="s">
        <v>42</v>
      </c>
      <c r="B20" s="8">
        <f>'June 26 Price List'!C20</f>
        <v>31</v>
      </c>
      <c r="C20" s="8">
        <f>'June 26 Price List'!D20</f>
        <v>0</v>
      </c>
      <c r="D20" s="8">
        <f>'June 26 Price List'!E20</f>
        <v>0</v>
      </c>
      <c r="E20" s="13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1</v>
      </c>
      <c r="S20" s="11"/>
      <c r="T20" s="11"/>
      <c r="U20" s="7"/>
      <c r="V20" s="12"/>
      <c r="W20" s="10"/>
      <c r="X20" s="10"/>
    </row>
    <row r="21" spans="1:24" ht="22.5" customHeight="1">
      <c r="A21" s="7" t="s">
        <v>23</v>
      </c>
      <c r="B21" s="12"/>
      <c r="C21" s="12"/>
      <c r="D21" s="12"/>
      <c r="E21" s="13">
        <f t="shared" ref="E21:W21" si="0">$D$2*E2+$D$3*E3+$D$4*E4+$D$5*E5+$D$6*E6+$D$7*E7+$D$8*E8+$D$9*E9+$D$10*E10+$D$11*E11+$D$12*E12+$D$13*E13+$D$14*E14+$D$15*E15+$D$16*E16+$D$17*E17+$D$18*E18+$D$19*E19+$D$20*E20</f>
        <v>4035</v>
      </c>
      <c r="F21" s="16">
        <f t="shared" si="0"/>
        <v>5789</v>
      </c>
      <c r="G21" s="16">
        <f t="shared" si="0"/>
        <v>5649</v>
      </c>
      <c r="H21" s="16">
        <f t="shared" si="0"/>
        <v>4729</v>
      </c>
      <c r="I21" s="16">
        <f t="shared" si="0"/>
        <v>5349</v>
      </c>
      <c r="J21" s="16">
        <f t="shared" si="0"/>
        <v>6138</v>
      </c>
      <c r="K21" s="16">
        <f t="shared" si="0"/>
        <v>4786</v>
      </c>
      <c r="L21" s="16">
        <f t="shared" si="0"/>
        <v>4381.5</v>
      </c>
      <c r="M21" s="16">
        <f t="shared" si="0"/>
        <v>5251</v>
      </c>
      <c r="N21" s="16">
        <f t="shared" si="0"/>
        <v>5096</v>
      </c>
      <c r="O21" s="16">
        <f t="shared" si="0"/>
        <v>6086</v>
      </c>
      <c r="P21" s="16">
        <f t="shared" si="0"/>
        <v>5214</v>
      </c>
      <c r="Q21" s="16">
        <f t="shared" si="0"/>
        <v>4075</v>
      </c>
      <c r="R21" s="16">
        <f t="shared" si="0"/>
        <v>4846</v>
      </c>
      <c r="S21" s="16">
        <f t="shared" si="0"/>
        <v>0</v>
      </c>
      <c r="T21" s="16">
        <f t="shared" si="0"/>
        <v>0</v>
      </c>
      <c r="U21" s="16">
        <f t="shared" si="0"/>
        <v>0</v>
      </c>
      <c r="V21" s="16">
        <f t="shared" si="0"/>
        <v>0</v>
      </c>
      <c r="W21" s="16">
        <f t="shared" si="0"/>
        <v>0</v>
      </c>
      <c r="X21" s="4">
        <f t="shared" ref="X21:X22" si="1">SUM(D21:W21)</f>
        <v>71424.5</v>
      </c>
    </row>
    <row r="22" spans="1:24" ht="22.5" customHeight="1">
      <c r="A22" s="10" t="s">
        <v>43</v>
      </c>
      <c r="B22" s="11"/>
      <c r="C22" s="11"/>
      <c r="D22" s="11"/>
      <c r="E22" s="13">
        <f t="shared" ref="E22:W22" si="2">($C$2*E2+$C$3*E3+$C$4*E4+$C$5*E5+$C$6*E6+$C$7*E7+$C$8*E8+$C$9*E9+$C$10*E10+$C$11*E11+$C$12*E12+$C$13*E13+$C$14*E14+$C$15*E15+$C$16*E16+$C$17*E17+$C$18*E18+$C$19*E19+$C$20*E20)-E21</f>
        <v>854</v>
      </c>
      <c r="F22" s="17">
        <f t="shared" si="2"/>
        <v>1348</v>
      </c>
      <c r="G22" s="17">
        <f t="shared" si="2"/>
        <v>1169</v>
      </c>
      <c r="H22" s="17">
        <f t="shared" si="2"/>
        <v>938</v>
      </c>
      <c r="I22" s="17">
        <f t="shared" si="2"/>
        <v>1310</v>
      </c>
      <c r="J22" s="17">
        <f t="shared" si="2"/>
        <v>1458</v>
      </c>
      <c r="K22" s="17">
        <f t="shared" si="2"/>
        <v>1163</v>
      </c>
      <c r="L22" s="17">
        <f t="shared" si="2"/>
        <v>1123.5</v>
      </c>
      <c r="M22" s="17">
        <f t="shared" si="2"/>
        <v>1433</v>
      </c>
      <c r="N22" s="17">
        <f t="shared" si="2"/>
        <v>1341</v>
      </c>
      <c r="O22" s="17">
        <f t="shared" si="2"/>
        <v>1455</v>
      </c>
      <c r="P22" s="17">
        <f t="shared" si="2"/>
        <v>1055</v>
      </c>
      <c r="Q22" s="17">
        <f t="shared" si="2"/>
        <v>874</v>
      </c>
      <c r="R22" s="17">
        <f t="shared" si="2"/>
        <v>1164.5</v>
      </c>
      <c r="S22" s="17">
        <f t="shared" si="2"/>
        <v>0</v>
      </c>
      <c r="T22" s="17">
        <f t="shared" si="2"/>
        <v>0</v>
      </c>
      <c r="U22" s="17">
        <f t="shared" si="2"/>
        <v>0</v>
      </c>
      <c r="V22" s="17">
        <f t="shared" si="2"/>
        <v>0</v>
      </c>
      <c r="W22" s="17">
        <f t="shared" si="2"/>
        <v>0</v>
      </c>
      <c r="X22" s="4">
        <f t="shared" si="1"/>
        <v>16686</v>
      </c>
    </row>
    <row r="23" spans="1:24" ht="22.5" customHeight="1">
      <c r="A23" s="10" t="s">
        <v>44</v>
      </c>
      <c r="B23" s="11"/>
      <c r="C23" s="11"/>
      <c r="D23" s="11"/>
      <c r="E23" s="13">
        <f t="shared" ref="E23:W23" si="3">E22*100/($C$2*E2+$C$3*E3+$C$4*E4+$C$5*E5+$C$6*E6+$C$7*E7+$C$8*E8+$C$9*E9+$C$10*E10+$C$11*E11+$C$12*E12+$C$13*E13+$C$14*E14+$C$15*E15+$C$16*E16+$C$17*E17+$C$18*E18+$C$19*E19+$C$20*E20)</f>
        <v>17.467784823072204</v>
      </c>
      <c r="F23" s="13">
        <f t="shared" si="3"/>
        <v>18.887487739946756</v>
      </c>
      <c r="G23" s="13">
        <f t="shared" si="3"/>
        <v>17.145790554414784</v>
      </c>
      <c r="H23" s="13">
        <f t="shared" si="3"/>
        <v>16.551967531321687</v>
      </c>
      <c r="I23" s="13">
        <f t="shared" si="3"/>
        <v>19.672623517044602</v>
      </c>
      <c r="J23" s="13">
        <f t="shared" si="3"/>
        <v>19.194312796208532</v>
      </c>
      <c r="K23" s="13">
        <f t="shared" si="3"/>
        <v>19.549504118339218</v>
      </c>
      <c r="L23" s="13">
        <f t="shared" si="3"/>
        <v>20.408719346049047</v>
      </c>
      <c r="M23" s="13">
        <f t="shared" si="3"/>
        <v>21.439257929383604</v>
      </c>
      <c r="N23" s="13">
        <f t="shared" si="3"/>
        <v>20.832686033866707</v>
      </c>
      <c r="O23" s="13">
        <f t="shared" si="3"/>
        <v>19.294523272775493</v>
      </c>
      <c r="P23" s="13">
        <f t="shared" si="3"/>
        <v>16.828840325410752</v>
      </c>
      <c r="Q23" s="13">
        <f t="shared" si="3"/>
        <v>17.660133360274802</v>
      </c>
      <c r="R23" s="13">
        <f t="shared" si="3"/>
        <v>19.374428084186007</v>
      </c>
      <c r="S23" s="13" t="e">
        <f t="shared" si="3"/>
        <v>#DIV/0!</v>
      </c>
      <c r="T23" s="13" t="e">
        <f t="shared" si="3"/>
        <v>#DIV/0!</v>
      </c>
      <c r="U23" s="13" t="e">
        <f t="shared" si="3"/>
        <v>#DIV/0!</v>
      </c>
      <c r="V23" s="13" t="e">
        <f t="shared" si="3"/>
        <v>#DIV/0!</v>
      </c>
      <c r="W23" s="13" t="e">
        <f t="shared" si="3"/>
        <v>#DIV/0!</v>
      </c>
      <c r="X23" s="13">
        <f>AVERAGE(E23:Q23)</f>
        <v>18.841048565239092</v>
      </c>
    </row>
    <row r="24" spans="1:24" ht="22.5" customHeight="1">
      <c r="A24" s="10" t="s">
        <v>45</v>
      </c>
      <c r="B24" s="11"/>
      <c r="C24" s="11"/>
      <c r="D24" s="11"/>
      <c r="E24" s="13">
        <f t="shared" ref="E24:W24" si="4">E21-($B$2*E2+$B$3*E3+$B$4*E4+$B$5*E5+$B$6*E6+$B$7*E7+$B$8*E8+$B$9*E9+$B$10*E10+$B$11*E11+$B$12*E12+$B$13*E13+$B$14*E14+$B$15*E15+$B$16*E16+$B$17*E17+$B$18*E18+$B$19*E19+$B$20*E20)</f>
        <v>1132.6599999999999</v>
      </c>
      <c r="F24" s="13">
        <f t="shared" si="4"/>
        <v>1829.7999999999997</v>
      </c>
      <c r="G24" s="13">
        <f t="shared" si="4"/>
        <v>1456.125</v>
      </c>
      <c r="H24" s="13">
        <f t="shared" si="4"/>
        <v>1330.88</v>
      </c>
      <c r="I24" s="13">
        <f t="shared" si="4"/>
        <v>1611.4350000000004</v>
      </c>
      <c r="J24" s="13">
        <f t="shared" si="4"/>
        <v>1908.17</v>
      </c>
      <c r="K24" s="13">
        <f t="shared" si="4"/>
        <v>1604.2050000000004</v>
      </c>
      <c r="L24" s="13">
        <f t="shared" si="4"/>
        <v>1310.3800000000001</v>
      </c>
      <c r="M24" s="13">
        <f t="shared" si="4"/>
        <v>1797.2449999999999</v>
      </c>
      <c r="N24" s="13">
        <f t="shared" si="4"/>
        <v>1515.4949999999999</v>
      </c>
      <c r="O24" s="13">
        <f t="shared" si="4"/>
        <v>1930.7350000000006</v>
      </c>
      <c r="P24" s="13">
        <f t="shared" si="4"/>
        <v>1473.8950000000004</v>
      </c>
      <c r="Q24" s="13">
        <f t="shared" si="4"/>
        <v>1255.3600000000001</v>
      </c>
      <c r="R24" s="13">
        <f t="shared" si="4"/>
        <v>1566.6649999999995</v>
      </c>
      <c r="S24" s="13">
        <f t="shared" si="4"/>
        <v>0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>SUM(B24:W24)</f>
        <v>21723.05</v>
      </c>
    </row>
    <row r="25" spans="1:24" ht="22.5" customHeight="1">
      <c r="A25" s="10" t="s">
        <v>46</v>
      </c>
      <c r="B25" s="11"/>
      <c r="C25" s="11"/>
      <c r="D25" s="11"/>
      <c r="E25" s="13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0"/>
      <c r="X25" s="10"/>
    </row>
    <row r="26" spans="1:24" ht="22.5" customHeight="1">
      <c r="A26" s="10" t="s">
        <v>47</v>
      </c>
      <c r="B26" s="11"/>
      <c r="C26" s="11"/>
      <c r="D26" s="11"/>
      <c r="E26" s="13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0"/>
      <c r="X26" s="10"/>
    </row>
    <row r="27" spans="1:24" ht="22.5" customHeight="1">
      <c r="A27" s="11"/>
      <c r="B27" s="11"/>
      <c r="C27" s="11"/>
      <c r="D27" s="11"/>
      <c r="E27" s="13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0"/>
      <c r="X27" s="10"/>
    </row>
    <row r="28" spans="1:24" ht="22.5" customHeight="1">
      <c r="A28" s="11"/>
      <c r="B28" s="11"/>
      <c r="C28" s="11"/>
      <c r="D28" s="11"/>
      <c r="E28" s="13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0"/>
      <c r="X28" s="10"/>
    </row>
    <row r="29" spans="1:24" ht="22.5" customHeight="1">
      <c r="A29" s="11"/>
      <c r="B29" s="11"/>
      <c r="C29" s="11"/>
      <c r="D29" s="11"/>
      <c r="E29" s="13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/>
      <c r="X29" s="10"/>
    </row>
    <row r="30" spans="1:24" ht="22.5" customHeight="1">
      <c r="A30" s="11"/>
      <c r="B30" s="11"/>
      <c r="C30" s="11"/>
      <c r="D30" s="11"/>
      <c r="E30" s="13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0"/>
      <c r="X30" s="10"/>
    </row>
    <row r="31" spans="1:24" ht="22.5" customHeight="1">
      <c r="A31" s="11"/>
      <c r="B31" s="11"/>
      <c r="C31" s="11"/>
      <c r="D31" s="11"/>
      <c r="E31" s="13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0"/>
      <c r="X31" s="10"/>
    </row>
    <row r="32" spans="1:24" ht="22.5" customHeight="1">
      <c r="A32" s="11"/>
      <c r="B32" s="11"/>
      <c r="C32" s="11"/>
      <c r="D32" s="11"/>
      <c r="E32" s="13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0"/>
      <c r="X32" s="10"/>
    </row>
    <row r="33" spans="1:24" ht="22.5" customHeight="1">
      <c r="A33" s="11"/>
      <c r="B33" s="11"/>
      <c r="C33" s="11"/>
      <c r="D33" s="11"/>
      <c r="E33" s="13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ht="22.5" customHeight="1">
      <c r="A34" s="11"/>
      <c r="B34" s="11"/>
      <c r="C34" s="11"/>
      <c r="D34" s="11"/>
      <c r="E34" s="13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ht="22.5" customHeight="1">
      <c r="A35" s="11"/>
      <c r="B35" s="11"/>
      <c r="C35" s="11"/>
      <c r="D35" s="11"/>
      <c r="E35" s="13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7"/>
      <c r="X35" s="7"/>
    </row>
    <row r="36" spans="1:24" ht="22.5" customHeight="1">
      <c r="A36" s="11"/>
      <c r="B36" s="11"/>
      <c r="C36" s="11"/>
      <c r="D36" s="11"/>
      <c r="E36" s="13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2"/>
      <c r="X36" s="12"/>
    </row>
    <row r="37" spans="1:24" ht="22.5" customHeight="1">
      <c r="A37" s="11"/>
      <c r="B37" s="11"/>
      <c r="C37" s="11"/>
      <c r="D37" s="11"/>
      <c r="E37" s="13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0"/>
      <c r="X37" s="10"/>
    </row>
    <row r="38" spans="1:24" ht="22.5" customHeight="1">
      <c r="A38" s="11"/>
      <c r="B38" s="11"/>
      <c r="C38" s="11"/>
      <c r="D38" s="11"/>
      <c r="E38" s="13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0"/>
      <c r="X38" s="10"/>
    </row>
    <row r="39" spans="1:24" ht="22.5" customHeight="1">
      <c r="A39" s="11"/>
      <c r="B39" s="11"/>
      <c r="C39" s="11"/>
      <c r="D39" s="11"/>
      <c r="E39" s="13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0"/>
      <c r="X39" s="10"/>
    </row>
    <row r="40" spans="1:24" ht="22.5" customHeight="1">
      <c r="A40" s="11"/>
      <c r="B40" s="11"/>
      <c r="C40" s="11"/>
      <c r="D40" s="11"/>
      <c r="E40" s="13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0"/>
      <c r="X40" s="10"/>
    </row>
    <row r="41" spans="1:24" ht="22.5" customHeight="1">
      <c r="A41" s="11"/>
      <c r="B41" s="11"/>
      <c r="C41" s="11"/>
      <c r="D41" s="11"/>
      <c r="E41" s="13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0"/>
      <c r="X41" s="10"/>
    </row>
    <row r="42" spans="1:24" ht="22.5" customHeight="1">
      <c r="A42" s="11"/>
      <c r="B42" s="11"/>
      <c r="C42" s="11"/>
      <c r="D42" s="11"/>
      <c r="E42" s="13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0"/>
      <c r="X42" s="10"/>
    </row>
    <row r="43" spans="1:24" ht="22.5" customHeight="1">
      <c r="A43" s="11"/>
      <c r="B43" s="11"/>
      <c r="C43" s="11"/>
      <c r="D43" s="11"/>
      <c r="E43" s="13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0"/>
      <c r="X43" s="10"/>
    </row>
    <row r="44" spans="1:24" ht="22.5" customHeight="1">
      <c r="A44" s="11"/>
      <c r="B44" s="11"/>
      <c r="C44" s="11"/>
      <c r="D44" s="11"/>
      <c r="E44" s="13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0"/>
      <c r="X44" s="10"/>
    </row>
    <row r="45" spans="1:24" ht="22.5" customHeight="1">
      <c r="A45" s="11"/>
      <c r="B45" s="11"/>
      <c r="C45" s="11"/>
      <c r="D45" s="11"/>
      <c r="E45" s="13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0"/>
      <c r="X45" s="10"/>
    </row>
    <row r="46" spans="1:24" ht="22.5" customHeight="1">
      <c r="A46" s="11"/>
      <c r="B46" s="11"/>
      <c r="C46" s="11"/>
      <c r="D46" s="11"/>
      <c r="E46" s="13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0"/>
      <c r="X46" s="10"/>
    </row>
    <row r="47" spans="1:24" ht="22.5" customHeight="1">
      <c r="A47" s="11"/>
      <c r="B47" s="11"/>
      <c r="C47" s="11"/>
      <c r="D47" s="11"/>
      <c r="E47" s="13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0"/>
      <c r="X47" s="10"/>
    </row>
    <row r="48" spans="1:24" ht="22.5" customHeight="1">
      <c r="A48" s="11"/>
      <c r="B48" s="11"/>
      <c r="C48" s="11"/>
      <c r="D48" s="11"/>
      <c r="E48" s="13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0"/>
      <c r="X48" s="10"/>
    </row>
    <row r="49" spans="1:24" ht="22.5" customHeight="1">
      <c r="A49" s="11"/>
      <c r="B49" s="11"/>
      <c r="C49" s="11"/>
      <c r="D49" s="11"/>
      <c r="E49" s="13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0"/>
      <c r="X49" s="10"/>
    </row>
    <row r="50" spans="1:24" ht="22.5" customHeight="1">
      <c r="A50" s="11"/>
      <c r="B50" s="11"/>
      <c r="C50" s="11"/>
      <c r="D50" s="11"/>
      <c r="E50" s="13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ht="22.5" customHeight="1">
      <c r="A51" s="11"/>
      <c r="B51" s="11"/>
      <c r="C51" s="11"/>
      <c r="D51" s="11"/>
      <c r="E51" s="13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ht="22.5" customHeight="1">
      <c r="A52" s="11"/>
      <c r="B52" s="11"/>
      <c r="C52" s="11"/>
      <c r="D52" s="11"/>
      <c r="E52" s="13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7"/>
      <c r="X52" s="7"/>
    </row>
    <row r="53" spans="1:24" ht="22.5" customHeight="1">
      <c r="A53" s="11"/>
      <c r="B53" s="11"/>
      <c r="C53" s="11"/>
      <c r="D53" s="11"/>
      <c r="E53" s="13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2"/>
      <c r="X53" s="12"/>
    </row>
    <row r="54" spans="1:24" ht="22.5" customHeight="1">
      <c r="A54" s="11"/>
      <c r="B54" s="11"/>
      <c r="C54" s="11"/>
      <c r="D54" s="11"/>
      <c r="E54" s="13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0"/>
      <c r="X54" s="10"/>
    </row>
    <row r="55" spans="1:24" ht="22.5" customHeight="1">
      <c r="A55" s="11"/>
      <c r="B55" s="11"/>
      <c r="C55" s="11"/>
      <c r="D55" s="11"/>
      <c r="E55" s="13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0"/>
      <c r="X55" s="10"/>
    </row>
    <row r="56" spans="1:24" ht="22.5" customHeight="1">
      <c r="A56" s="11"/>
      <c r="B56" s="11"/>
      <c r="C56" s="11"/>
      <c r="D56" s="11"/>
      <c r="E56" s="13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0"/>
      <c r="X56" s="10"/>
    </row>
    <row r="57" spans="1:24" ht="22.5" customHeight="1">
      <c r="A57" s="11"/>
      <c r="B57" s="11"/>
      <c r="C57" s="11"/>
      <c r="D57" s="11"/>
      <c r="E57" s="13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0"/>
      <c r="X57" s="10"/>
    </row>
    <row r="58" spans="1:24" ht="22.5" customHeight="1">
      <c r="A58" s="11"/>
      <c r="B58" s="11"/>
      <c r="C58" s="11"/>
      <c r="D58" s="11"/>
      <c r="E58" s="13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0"/>
      <c r="X58" s="10"/>
    </row>
    <row r="59" spans="1:24" ht="22.5" customHeight="1">
      <c r="A59" s="11"/>
      <c r="B59" s="11"/>
      <c r="C59" s="11"/>
      <c r="D59" s="11"/>
      <c r="E59" s="13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/>
      <c r="X59" s="10"/>
    </row>
    <row r="60" spans="1:24" ht="22.5" customHeight="1">
      <c r="A60" s="11"/>
      <c r="B60" s="11"/>
      <c r="C60" s="11"/>
      <c r="D60" s="11"/>
      <c r="E60" s="13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0"/>
      <c r="X60" s="10"/>
    </row>
    <row r="61" spans="1:24" ht="22.5" customHeight="1">
      <c r="A61" s="11"/>
      <c r="B61" s="11"/>
      <c r="C61" s="11"/>
      <c r="D61" s="11"/>
      <c r="E61" s="13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0"/>
      <c r="X61" s="10"/>
    </row>
    <row r="62" spans="1:24" ht="22.5" customHeight="1">
      <c r="A62" s="11"/>
      <c r="B62" s="11"/>
      <c r="C62" s="11"/>
      <c r="D62" s="11"/>
      <c r="E62" s="13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0"/>
      <c r="X62" s="10"/>
    </row>
    <row r="63" spans="1:24" ht="22.5" customHeight="1">
      <c r="A63" s="11"/>
      <c r="B63" s="11"/>
      <c r="C63" s="11"/>
      <c r="D63" s="11"/>
      <c r="E63" s="13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0"/>
      <c r="X63" s="10"/>
    </row>
    <row r="64" spans="1:24" ht="22.5" customHeight="1">
      <c r="A64" s="11"/>
      <c r="B64" s="11"/>
      <c r="C64" s="11"/>
      <c r="D64" s="11"/>
      <c r="E64" s="13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0"/>
      <c r="X64" s="10"/>
    </row>
    <row r="65" spans="1:24" ht="22.5" customHeight="1">
      <c r="A65" s="11"/>
      <c r="B65" s="11"/>
      <c r="C65" s="11"/>
      <c r="D65" s="11"/>
      <c r="E65" s="13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0"/>
      <c r="X65" s="10"/>
    </row>
    <row r="66" spans="1:24" ht="22.5" customHeight="1">
      <c r="A66" s="11"/>
      <c r="B66" s="11"/>
      <c r="C66" s="11"/>
      <c r="D66" s="11"/>
      <c r="E66" s="13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0"/>
      <c r="X66" s="10"/>
    </row>
    <row r="67" spans="1:24" ht="22.5" customHeight="1">
      <c r="A67" s="11"/>
      <c r="B67" s="11"/>
      <c r="C67" s="11"/>
      <c r="D67" s="11"/>
      <c r="E67" s="13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ht="22.5" customHeight="1">
      <c r="A68" s="11"/>
      <c r="B68" s="11"/>
      <c r="C68" s="11"/>
      <c r="D68" s="11"/>
      <c r="E68" s="13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ht="22.5" customHeight="1">
      <c r="A69" s="11"/>
      <c r="B69" s="11"/>
      <c r="C69" s="11"/>
      <c r="D69" s="11"/>
      <c r="E69" s="13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7"/>
      <c r="X69" s="7"/>
    </row>
    <row r="70" spans="1:24" ht="22.5" customHeight="1">
      <c r="A70" s="11"/>
      <c r="B70" s="11"/>
      <c r="C70" s="11"/>
      <c r="D70" s="11"/>
      <c r="E70" s="13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2"/>
      <c r="X70" s="12"/>
    </row>
    <row r="71" spans="1:24" ht="22.5" customHeight="1">
      <c r="A71" s="11"/>
      <c r="B71" s="11"/>
      <c r="C71" s="11"/>
      <c r="D71" s="11"/>
      <c r="E71" s="13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0"/>
      <c r="X71" s="10"/>
    </row>
    <row r="72" spans="1:24" ht="22.5" customHeight="1">
      <c r="A72" s="11"/>
      <c r="B72" s="11"/>
      <c r="C72" s="11"/>
      <c r="D72" s="11"/>
      <c r="E72" s="13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0"/>
      <c r="X72" s="10"/>
    </row>
    <row r="73" spans="1:24" ht="22.5" customHeight="1">
      <c r="A73" s="11"/>
      <c r="B73" s="11"/>
      <c r="C73" s="11"/>
      <c r="D73" s="11"/>
      <c r="E73" s="13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0"/>
      <c r="X73" s="10"/>
    </row>
    <row r="74" spans="1:24" ht="22.5" customHeight="1">
      <c r="A74" s="11"/>
      <c r="B74" s="11"/>
      <c r="C74" s="11"/>
      <c r="D74" s="11"/>
      <c r="E74" s="13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0"/>
      <c r="X74" s="10"/>
    </row>
    <row r="75" spans="1:24" ht="22.5" customHeight="1">
      <c r="A75" s="11"/>
      <c r="B75" s="11"/>
      <c r="C75" s="11"/>
      <c r="D75" s="11"/>
      <c r="E75" s="13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0"/>
      <c r="X75" s="10"/>
    </row>
    <row r="76" spans="1:24" ht="22.5" customHeight="1">
      <c r="A76" s="11"/>
      <c r="B76" s="11"/>
      <c r="C76" s="11"/>
      <c r="D76" s="11"/>
      <c r="E76" s="13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0"/>
      <c r="X76" s="10"/>
    </row>
    <row r="77" spans="1:24" ht="22.5" customHeight="1">
      <c r="A77" s="11"/>
      <c r="B77" s="11"/>
      <c r="C77" s="11"/>
      <c r="D77" s="11"/>
      <c r="E77" s="13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0"/>
      <c r="X77" s="10"/>
    </row>
    <row r="78" spans="1:24" ht="22.5" customHeight="1">
      <c r="A78" s="11"/>
      <c r="B78" s="11"/>
      <c r="C78" s="11"/>
      <c r="D78" s="11"/>
      <c r="E78" s="13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0"/>
      <c r="X78" s="10"/>
    </row>
    <row r="79" spans="1:24" ht="22.5" customHeight="1">
      <c r="A79" s="11"/>
      <c r="B79" s="11"/>
      <c r="C79" s="11"/>
      <c r="D79" s="11"/>
      <c r="E79" s="13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0"/>
      <c r="X79" s="10"/>
    </row>
    <row r="80" spans="1:24" ht="22.5" customHeight="1">
      <c r="A80" s="11"/>
      <c r="B80" s="11"/>
      <c r="C80" s="11"/>
      <c r="D80" s="11"/>
      <c r="E80" s="13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0"/>
      <c r="X80" s="10"/>
    </row>
    <row r="81" spans="1:24" ht="22.5" customHeight="1">
      <c r="A81" s="11"/>
      <c r="B81" s="11"/>
      <c r="C81" s="11"/>
      <c r="D81" s="11"/>
      <c r="E81" s="13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0"/>
      <c r="X81" s="10"/>
    </row>
    <row r="82" spans="1:24" ht="22.5" customHeight="1">
      <c r="A82" s="11"/>
      <c r="B82" s="11"/>
      <c r="C82" s="11"/>
      <c r="D82" s="11"/>
      <c r="E82" s="13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0"/>
      <c r="X82" s="10"/>
    </row>
    <row r="83" spans="1:24" ht="22.5" customHeight="1">
      <c r="A83" s="11"/>
      <c r="B83" s="11"/>
      <c r="C83" s="11"/>
      <c r="D83" s="11"/>
      <c r="E83" s="13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0"/>
      <c r="X83" s="10"/>
    </row>
    <row r="84" spans="1:24" ht="22.5" customHeight="1">
      <c r="A84" s="11"/>
      <c r="B84" s="11"/>
      <c r="C84" s="11"/>
      <c r="D84" s="11"/>
      <c r="E84" s="13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ht="22.5" customHeight="1">
      <c r="A85" s="11"/>
      <c r="B85" s="11"/>
      <c r="C85" s="11"/>
      <c r="D85" s="11"/>
      <c r="E85" s="13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ht="22.5" customHeight="1">
      <c r="A86" s="11"/>
      <c r="B86" s="11"/>
      <c r="C86" s="11"/>
      <c r="D86" s="11"/>
      <c r="E86" s="13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7"/>
      <c r="X86" s="7"/>
    </row>
    <row r="87" spans="1:24" ht="22.5" customHeight="1">
      <c r="A87" s="11"/>
      <c r="B87" s="11"/>
      <c r="C87" s="11"/>
      <c r="D87" s="11"/>
      <c r="E87" s="13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2"/>
      <c r="X87" s="12"/>
    </row>
    <row r="88" spans="1:24" ht="22.5" customHeight="1">
      <c r="A88" s="11"/>
      <c r="B88" s="11"/>
      <c r="C88" s="11"/>
      <c r="D88" s="11"/>
      <c r="E88" s="13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0"/>
      <c r="X88" s="10"/>
    </row>
    <row r="89" spans="1:24" ht="22.5" customHeight="1">
      <c r="A89" s="11"/>
      <c r="B89" s="11"/>
      <c r="C89" s="11"/>
      <c r="D89" s="11"/>
      <c r="E89" s="13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0"/>
      <c r="X89" s="10"/>
    </row>
    <row r="90" spans="1:24" ht="22.5" customHeight="1">
      <c r="A90" s="11"/>
      <c r="B90" s="11"/>
      <c r="C90" s="11"/>
      <c r="D90" s="11"/>
      <c r="E90" s="13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/>
      <c r="X90" s="10"/>
    </row>
    <row r="91" spans="1:24" ht="22.5" customHeight="1">
      <c r="A91" s="11"/>
      <c r="B91" s="11"/>
      <c r="C91" s="11"/>
      <c r="D91" s="11"/>
      <c r="E91" s="13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0"/>
      <c r="X91" s="10"/>
    </row>
    <row r="92" spans="1:24" ht="22.5" customHeight="1">
      <c r="A92" s="11"/>
      <c r="B92" s="11"/>
      <c r="C92" s="11"/>
      <c r="D92" s="11"/>
      <c r="E92" s="13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0"/>
      <c r="X92" s="10"/>
    </row>
    <row r="93" spans="1:24" ht="22.5" customHeight="1">
      <c r="A93" s="11"/>
      <c r="B93" s="11"/>
      <c r="C93" s="11"/>
      <c r="D93" s="11"/>
      <c r="E93" s="13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0"/>
      <c r="X93" s="10"/>
    </row>
    <row r="94" spans="1:24" ht="22.5" customHeight="1">
      <c r="A94" s="11"/>
      <c r="B94" s="11"/>
      <c r="C94" s="11"/>
      <c r="D94" s="11"/>
      <c r="E94" s="13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0"/>
      <c r="X94" s="10"/>
    </row>
    <row r="95" spans="1:24" ht="22.5" customHeight="1">
      <c r="A95" s="11"/>
      <c r="B95" s="11"/>
      <c r="C95" s="11"/>
      <c r="D95" s="11"/>
      <c r="E95" s="13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0"/>
      <c r="X95" s="10"/>
    </row>
    <row r="96" spans="1:24" ht="22.5" customHeight="1">
      <c r="A96" s="11"/>
      <c r="B96" s="11"/>
      <c r="C96" s="11"/>
      <c r="D96" s="11"/>
      <c r="E96" s="13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0"/>
      <c r="X96" s="10"/>
    </row>
    <row r="97" spans="1:24" ht="22.5" customHeight="1">
      <c r="A97" s="11"/>
      <c r="B97" s="11"/>
      <c r="C97" s="11"/>
      <c r="D97" s="11"/>
      <c r="E97" s="13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0"/>
      <c r="X97" s="10"/>
    </row>
    <row r="98" spans="1:24" ht="22.5" customHeight="1">
      <c r="A98" s="11"/>
      <c r="B98" s="11"/>
      <c r="C98" s="11"/>
      <c r="D98" s="11"/>
      <c r="E98" s="13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0"/>
      <c r="X98" s="10"/>
    </row>
    <row r="99" spans="1:24" ht="22.5" customHeight="1">
      <c r="A99" s="11"/>
      <c r="B99" s="11"/>
      <c r="C99" s="11"/>
      <c r="D99" s="11"/>
      <c r="E99" s="13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0"/>
      <c r="X99" s="10"/>
    </row>
    <row r="100" spans="1:24" ht="22.5" customHeight="1">
      <c r="A100" s="11"/>
      <c r="B100" s="11"/>
      <c r="C100" s="11"/>
      <c r="D100" s="11"/>
      <c r="E100" s="13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0"/>
      <c r="X100" s="10"/>
    </row>
    <row r="101" spans="1:24" ht="22.5" customHeight="1">
      <c r="A101" s="11"/>
      <c r="B101" s="11"/>
      <c r="C101" s="11"/>
      <c r="D101" s="11"/>
      <c r="E101" s="13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ht="22.5" customHeight="1">
      <c r="A102" s="11"/>
      <c r="B102" s="11"/>
      <c r="C102" s="11"/>
      <c r="D102" s="11"/>
      <c r="E102" s="13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ht="22.5" customHeight="1">
      <c r="A103" s="11"/>
      <c r="B103" s="11"/>
      <c r="C103" s="11"/>
      <c r="D103" s="11"/>
      <c r="E103" s="13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7"/>
      <c r="X103" s="7"/>
    </row>
    <row r="104" spans="1:24" ht="22.5" customHeight="1">
      <c r="A104" s="11"/>
      <c r="B104" s="11"/>
      <c r="C104" s="11"/>
      <c r="D104" s="11"/>
      <c r="E104" s="1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2"/>
      <c r="X104" s="12"/>
    </row>
    <row r="105" spans="1:24" ht="22.5" customHeight="1">
      <c r="A105" s="11"/>
      <c r="B105" s="11"/>
      <c r="C105" s="11"/>
      <c r="D105" s="11"/>
      <c r="E105" s="1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0"/>
      <c r="X105" s="10"/>
    </row>
    <row r="106" spans="1:24" ht="22.5" customHeight="1">
      <c r="A106" s="11"/>
      <c r="B106" s="11"/>
      <c r="C106" s="11"/>
      <c r="D106" s="11"/>
      <c r="E106" s="1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0"/>
      <c r="X106" s="10"/>
    </row>
    <row r="107" spans="1:24" ht="22.5" customHeight="1">
      <c r="A107" s="11"/>
      <c r="B107" s="11"/>
      <c r="C107" s="11"/>
      <c r="D107" s="11"/>
      <c r="E107" s="1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0"/>
      <c r="X107" s="10"/>
    </row>
    <row r="108" spans="1:24" ht="22.5" customHeight="1">
      <c r="A108" s="11"/>
      <c r="B108" s="11"/>
      <c r="C108" s="11"/>
      <c r="D108" s="11"/>
      <c r="E108" s="1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/>
      <c r="X108" s="10"/>
    </row>
    <row r="109" spans="1:24" ht="22.5" customHeight="1">
      <c r="A109" s="11"/>
      <c r="B109" s="11"/>
      <c r="C109" s="11"/>
      <c r="D109" s="11"/>
      <c r="E109" s="1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0"/>
      <c r="X109" s="10"/>
    </row>
    <row r="110" spans="1:24" ht="22.5" customHeight="1">
      <c r="A110" s="11"/>
      <c r="B110" s="11"/>
      <c r="C110" s="11"/>
      <c r="D110" s="11"/>
      <c r="E110" s="1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0"/>
      <c r="X110" s="10"/>
    </row>
    <row r="111" spans="1:24" ht="22.5" customHeight="1">
      <c r="A111" s="11"/>
      <c r="B111" s="11"/>
      <c r="C111" s="11"/>
      <c r="D111" s="11"/>
      <c r="E111" s="13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0"/>
      <c r="X111" s="10"/>
    </row>
    <row r="112" spans="1:24" ht="22.5" customHeight="1">
      <c r="A112" s="11"/>
      <c r="B112" s="11"/>
      <c r="C112" s="11"/>
      <c r="D112" s="11"/>
      <c r="E112" s="13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0"/>
      <c r="X112" s="10"/>
    </row>
    <row r="113" spans="1:24" ht="22.5" customHeight="1">
      <c r="A113" s="11"/>
      <c r="B113" s="11"/>
      <c r="C113" s="11"/>
      <c r="D113" s="11"/>
      <c r="E113" s="13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0"/>
      <c r="X113" s="10"/>
    </row>
    <row r="114" spans="1:24" ht="22.5" customHeight="1">
      <c r="A114" s="11"/>
      <c r="B114" s="11"/>
      <c r="C114" s="11"/>
      <c r="D114" s="11"/>
      <c r="E114" s="1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0"/>
      <c r="X114" s="10"/>
    </row>
    <row r="115" spans="1:24" ht="22.5" customHeight="1">
      <c r="A115" s="11"/>
      <c r="B115" s="11"/>
      <c r="C115" s="11"/>
      <c r="D115" s="11"/>
      <c r="E115" s="1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0"/>
      <c r="X115" s="10"/>
    </row>
    <row r="116" spans="1:24" ht="22.5" customHeight="1">
      <c r="A116" s="11"/>
      <c r="B116" s="11"/>
      <c r="C116" s="11"/>
      <c r="D116" s="11"/>
      <c r="E116" s="1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0"/>
      <c r="X116" s="10"/>
    </row>
    <row r="117" spans="1:24" ht="22.5" customHeight="1">
      <c r="A117" s="11"/>
      <c r="B117" s="11"/>
      <c r="C117" s="11"/>
      <c r="D117" s="11"/>
      <c r="E117" s="1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0"/>
      <c r="X117" s="10"/>
    </row>
    <row r="118" spans="1:24" ht="22.5" customHeight="1">
      <c r="A118" s="11"/>
      <c r="B118" s="11"/>
      <c r="C118" s="11"/>
      <c r="D118" s="11"/>
      <c r="E118" s="13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ht="22.5" customHeight="1">
      <c r="A119" s="11"/>
      <c r="B119" s="11"/>
      <c r="C119" s="11"/>
      <c r="D119" s="11"/>
      <c r="E119" s="13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ht="22.5" customHeight="1">
      <c r="A120" s="11"/>
      <c r="B120" s="11"/>
      <c r="C120" s="11"/>
      <c r="D120" s="11"/>
      <c r="E120" s="13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7"/>
      <c r="X120" s="7"/>
    </row>
    <row r="121" spans="1:24" ht="22.5" customHeight="1">
      <c r="A121" s="11"/>
      <c r="B121" s="11"/>
      <c r="C121" s="11"/>
      <c r="D121" s="11"/>
      <c r="E121" s="13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2"/>
      <c r="X121" s="12"/>
    </row>
    <row r="122" spans="1:24" ht="22.5" customHeight="1">
      <c r="A122" s="11"/>
      <c r="B122" s="11"/>
      <c r="C122" s="11"/>
      <c r="D122" s="11"/>
      <c r="E122" s="13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0"/>
      <c r="X122" s="10"/>
    </row>
    <row r="123" spans="1:24" ht="22.5" customHeight="1">
      <c r="A123" s="11"/>
      <c r="B123" s="11"/>
      <c r="C123" s="11"/>
      <c r="D123" s="11"/>
      <c r="E123" s="13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0"/>
      <c r="X123" s="10"/>
    </row>
    <row r="124" spans="1:24" ht="22.5" customHeight="1">
      <c r="A124" s="11"/>
      <c r="B124" s="11"/>
      <c r="C124" s="11"/>
      <c r="D124" s="11"/>
      <c r="E124" s="13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0"/>
      <c r="X124" s="10"/>
    </row>
    <row r="125" spans="1:24" ht="22.5" customHeight="1">
      <c r="A125" s="11"/>
      <c r="B125" s="11"/>
      <c r="C125" s="11"/>
      <c r="D125" s="11"/>
      <c r="E125" s="13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0"/>
      <c r="X125" s="10"/>
    </row>
    <row r="126" spans="1:24" ht="22.5" customHeight="1">
      <c r="A126" s="11"/>
      <c r="B126" s="11"/>
      <c r="C126" s="11"/>
      <c r="D126" s="11"/>
      <c r="E126" s="13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0"/>
      <c r="X126" s="10"/>
    </row>
    <row r="127" spans="1:24" ht="22.5" customHeight="1">
      <c r="A127" s="11"/>
      <c r="B127" s="11"/>
      <c r="C127" s="11"/>
      <c r="D127" s="11"/>
      <c r="E127" s="1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0"/>
      <c r="X127" s="10"/>
    </row>
    <row r="128" spans="1:24" ht="22.5" customHeight="1">
      <c r="A128" s="11"/>
      <c r="B128" s="11"/>
      <c r="C128" s="11"/>
      <c r="D128" s="11"/>
      <c r="E128" s="1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0"/>
      <c r="X128" s="10"/>
    </row>
    <row r="129" spans="1:24" ht="22.5" customHeight="1">
      <c r="A129" s="11"/>
      <c r="B129" s="11"/>
      <c r="C129" s="11"/>
      <c r="D129" s="11"/>
      <c r="E129" s="1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0"/>
      <c r="X129" s="10"/>
    </row>
    <row r="130" spans="1:24" ht="22.5" customHeight="1">
      <c r="A130" s="11"/>
      <c r="B130" s="11"/>
      <c r="C130" s="11"/>
      <c r="D130" s="11"/>
      <c r="E130" s="1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0"/>
      <c r="X130" s="10"/>
    </row>
    <row r="131" spans="1:24" ht="22.5" customHeight="1">
      <c r="A131" s="11"/>
      <c r="B131" s="11"/>
      <c r="C131" s="11"/>
      <c r="D131" s="11"/>
      <c r="E131" s="1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0"/>
      <c r="X131" s="10"/>
    </row>
    <row r="132" spans="1:24" ht="22.5" customHeight="1">
      <c r="A132" s="11"/>
      <c r="B132" s="11"/>
      <c r="C132" s="11"/>
      <c r="D132" s="11"/>
      <c r="E132" s="13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0"/>
      <c r="X132" s="10"/>
    </row>
    <row r="133" spans="1:24" ht="22.5" customHeight="1">
      <c r="A133" s="11"/>
      <c r="B133" s="11"/>
      <c r="C133" s="11"/>
      <c r="D133" s="11"/>
      <c r="E133" s="13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0"/>
      <c r="X133" s="10"/>
    </row>
    <row r="134" spans="1:24" ht="22.5" customHeight="1">
      <c r="A134" s="11"/>
      <c r="B134" s="11"/>
      <c r="C134" s="11"/>
      <c r="D134" s="11"/>
      <c r="E134" s="13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0"/>
      <c r="X134" s="10"/>
    </row>
    <row r="135" spans="1:24" ht="22.5" customHeight="1">
      <c r="A135" s="11"/>
      <c r="B135" s="11"/>
      <c r="C135" s="11"/>
      <c r="D135" s="11"/>
      <c r="E135" s="1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ht="22.5" customHeight="1">
      <c r="A136" s="11"/>
      <c r="B136" s="11"/>
      <c r="C136" s="11"/>
      <c r="D136" s="11"/>
      <c r="E136" s="13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ht="22.5" customHeight="1">
      <c r="A137" s="11"/>
      <c r="B137" s="11"/>
      <c r="C137" s="11"/>
      <c r="D137" s="11"/>
      <c r="E137" s="13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7"/>
      <c r="X137" s="7"/>
    </row>
    <row r="138" spans="1:24" ht="22.5" customHeight="1">
      <c r="A138" s="11"/>
      <c r="B138" s="11"/>
      <c r="C138" s="11"/>
      <c r="D138" s="11"/>
      <c r="E138" s="13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2"/>
      <c r="X138" s="12"/>
    </row>
    <row r="139" spans="1:24" ht="22.5" customHeight="1">
      <c r="A139" s="11"/>
      <c r="B139" s="11"/>
      <c r="C139" s="11"/>
      <c r="D139" s="11"/>
      <c r="E139" s="1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0"/>
      <c r="X139" s="10"/>
    </row>
    <row r="140" spans="1:24" ht="22.5" customHeight="1">
      <c r="A140" s="11"/>
      <c r="B140" s="11"/>
      <c r="C140" s="11"/>
      <c r="D140" s="11"/>
      <c r="E140" s="1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0"/>
      <c r="X140" s="10"/>
    </row>
    <row r="141" spans="1:24" ht="22.5" customHeight="1">
      <c r="A141" s="11"/>
      <c r="B141" s="11"/>
      <c r="C141" s="11"/>
      <c r="D141" s="11"/>
      <c r="E141" s="1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0"/>
      <c r="X141" s="10"/>
    </row>
    <row r="142" spans="1:24" ht="22.5" customHeight="1">
      <c r="A142" s="11"/>
      <c r="B142" s="11"/>
      <c r="C142" s="11"/>
      <c r="D142" s="11"/>
      <c r="E142" s="1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0"/>
      <c r="X142" s="10"/>
    </row>
    <row r="143" spans="1:24" ht="22.5" customHeight="1">
      <c r="A143" s="11"/>
      <c r="B143" s="11"/>
      <c r="C143" s="11"/>
      <c r="D143" s="11"/>
      <c r="E143" s="1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0"/>
      <c r="X143" s="10"/>
    </row>
    <row r="144" spans="1:24" ht="22.5" customHeight="1">
      <c r="A144" s="11"/>
      <c r="B144" s="11"/>
      <c r="C144" s="11"/>
      <c r="D144" s="11"/>
      <c r="E144" s="1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0"/>
      <c r="X144" s="10"/>
    </row>
    <row r="145" spans="1:24" ht="22.5" customHeight="1">
      <c r="A145" s="11"/>
      <c r="B145" s="11"/>
      <c r="C145" s="11"/>
      <c r="D145" s="11"/>
      <c r="E145" s="1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0"/>
      <c r="X145" s="10"/>
    </row>
    <row r="146" spans="1:24" ht="22.5" customHeight="1">
      <c r="A146" s="11"/>
      <c r="B146" s="11"/>
      <c r="C146" s="11"/>
      <c r="D146" s="11"/>
      <c r="E146" s="13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0"/>
      <c r="X146" s="10"/>
    </row>
    <row r="147" spans="1:24" ht="22.5" customHeight="1">
      <c r="A147" s="11"/>
      <c r="B147" s="11"/>
      <c r="C147" s="11"/>
      <c r="D147" s="11"/>
      <c r="E147" s="13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0"/>
      <c r="X147" s="10"/>
    </row>
    <row r="148" spans="1:24" ht="22.5" customHeight="1">
      <c r="A148" s="11"/>
      <c r="B148" s="11"/>
      <c r="C148" s="11"/>
      <c r="D148" s="11"/>
      <c r="E148" s="13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0"/>
      <c r="X148" s="10"/>
    </row>
    <row r="149" spans="1:24" ht="22.5" customHeight="1">
      <c r="A149" s="11"/>
      <c r="B149" s="11"/>
      <c r="C149" s="11"/>
      <c r="D149" s="11"/>
      <c r="E149" s="13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0"/>
      <c r="X149" s="10"/>
    </row>
    <row r="150" spans="1:24" ht="22.5" customHeight="1">
      <c r="A150" s="11"/>
      <c r="B150" s="11"/>
      <c r="C150" s="11"/>
      <c r="D150" s="11"/>
      <c r="E150" s="13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0"/>
      <c r="X150" s="10"/>
    </row>
    <row r="151" spans="1:24" ht="22.5" customHeight="1">
      <c r="A151" s="11"/>
      <c r="B151" s="11"/>
      <c r="C151" s="11"/>
      <c r="D151" s="11"/>
      <c r="E151" s="13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0"/>
      <c r="X151" s="10"/>
    </row>
    <row r="152" spans="1:24" ht="22.5" customHeight="1">
      <c r="A152" s="11"/>
      <c r="B152" s="11"/>
      <c r="C152" s="11"/>
      <c r="D152" s="11"/>
      <c r="E152" s="13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ht="22.5" customHeight="1">
      <c r="A153" s="11"/>
      <c r="B153" s="11"/>
      <c r="C153" s="11"/>
      <c r="D153" s="11"/>
      <c r="E153" s="13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ht="22.5" customHeight="1">
      <c r="A154" s="11"/>
      <c r="B154" s="11"/>
      <c r="C154" s="11"/>
      <c r="D154" s="11"/>
      <c r="E154" s="13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7"/>
      <c r="X154" s="7"/>
    </row>
    <row r="155" spans="1:24" ht="22.5" customHeight="1">
      <c r="A155" s="11"/>
      <c r="B155" s="11"/>
      <c r="C155" s="11"/>
      <c r="D155" s="11"/>
      <c r="E155" s="13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2"/>
      <c r="X155" s="12"/>
    </row>
    <row r="156" spans="1:24" ht="22.5" customHeight="1">
      <c r="A156" s="11"/>
      <c r="B156" s="11"/>
      <c r="C156" s="11"/>
      <c r="D156" s="11"/>
      <c r="E156" s="13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0"/>
      <c r="X156" s="10"/>
    </row>
    <row r="157" spans="1:24" ht="22.5" customHeight="1">
      <c r="A157" s="11"/>
      <c r="B157" s="11"/>
      <c r="C157" s="11"/>
      <c r="D157" s="11"/>
      <c r="E157" s="13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0"/>
      <c r="X157" s="10"/>
    </row>
    <row r="158" spans="1:24" ht="22.5" customHeight="1">
      <c r="A158" s="11"/>
      <c r="B158" s="11"/>
      <c r="C158" s="11"/>
      <c r="D158" s="11"/>
      <c r="E158" s="13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0"/>
      <c r="X158" s="10"/>
    </row>
    <row r="159" spans="1:24" ht="22.5" customHeight="1">
      <c r="A159" s="11"/>
      <c r="B159" s="11"/>
      <c r="C159" s="11"/>
      <c r="D159" s="11"/>
      <c r="E159" s="13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0"/>
      <c r="X159" s="10"/>
    </row>
    <row r="160" spans="1:24" ht="22.5" customHeight="1">
      <c r="A160" s="11"/>
      <c r="B160" s="11"/>
      <c r="C160" s="11"/>
      <c r="D160" s="11"/>
      <c r="E160" s="13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0"/>
      <c r="X160" s="10"/>
    </row>
    <row r="161" spans="1:24" ht="22.5" customHeight="1">
      <c r="A161" s="11"/>
      <c r="B161" s="11"/>
      <c r="C161" s="11"/>
      <c r="D161" s="11"/>
      <c r="E161" s="13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0"/>
      <c r="X161" s="10"/>
    </row>
    <row r="162" spans="1:24" ht="22.5" customHeight="1">
      <c r="A162" s="11"/>
      <c r="B162" s="11"/>
      <c r="C162" s="11"/>
      <c r="D162" s="11"/>
      <c r="E162" s="13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0"/>
      <c r="X162" s="10"/>
    </row>
    <row r="163" spans="1:24" ht="22.5" customHeight="1">
      <c r="A163" s="11"/>
      <c r="B163" s="11"/>
      <c r="C163" s="11"/>
      <c r="D163" s="11"/>
      <c r="E163" s="13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0"/>
      <c r="X163" s="10"/>
    </row>
    <row r="164" spans="1:24" ht="22.5" customHeight="1">
      <c r="A164" s="11"/>
      <c r="B164" s="11"/>
      <c r="C164" s="11"/>
      <c r="D164" s="11"/>
      <c r="E164" s="13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0"/>
      <c r="X164" s="10"/>
    </row>
    <row r="165" spans="1:24" ht="22.5" customHeight="1">
      <c r="A165" s="11"/>
      <c r="B165" s="11"/>
      <c r="C165" s="11"/>
      <c r="D165" s="11"/>
      <c r="E165" s="13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0"/>
      <c r="X165" s="10"/>
    </row>
    <row r="166" spans="1:24" ht="22.5" customHeight="1">
      <c r="A166" s="11"/>
      <c r="B166" s="11"/>
      <c r="C166" s="11"/>
      <c r="D166" s="11"/>
      <c r="E166" s="13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/>
      <c r="X166" s="10"/>
    </row>
    <row r="167" spans="1:24" ht="22.5" customHeight="1">
      <c r="A167" s="11"/>
      <c r="B167" s="11"/>
      <c r="C167" s="11"/>
      <c r="D167" s="11"/>
      <c r="E167" s="13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0"/>
      <c r="X167" s="10"/>
    </row>
    <row r="168" spans="1:24" ht="22.5" customHeight="1">
      <c r="A168" s="11"/>
      <c r="B168" s="11"/>
      <c r="C168" s="11"/>
      <c r="D168" s="11"/>
      <c r="E168" s="13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0"/>
      <c r="X168" s="10"/>
    </row>
    <row r="169" spans="1:24" ht="22.5" customHeight="1">
      <c r="A169" s="11"/>
      <c r="B169" s="11"/>
      <c r="C169" s="11"/>
      <c r="D169" s="11"/>
      <c r="E169" s="13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ht="22.5" customHeight="1">
      <c r="A170" s="11"/>
      <c r="B170" s="11"/>
      <c r="C170" s="11"/>
      <c r="D170" s="11"/>
      <c r="E170" s="13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ht="22.5" customHeight="1">
      <c r="A171" s="11"/>
      <c r="B171" s="11"/>
      <c r="C171" s="11"/>
      <c r="D171" s="11"/>
      <c r="E171" s="13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7"/>
      <c r="X171" s="7"/>
    </row>
    <row r="172" spans="1:24" ht="22.5" customHeight="1">
      <c r="A172" s="11"/>
      <c r="B172" s="11"/>
      <c r="C172" s="11"/>
      <c r="D172" s="11"/>
      <c r="E172" s="13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2"/>
      <c r="X172" s="12"/>
    </row>
    <row r="173" spans="1:24" ht="22.5" customHeight="1">
      <c r="A173" s="11"/>
      <c r="B173" s="11"/>
      <c r="C173" s="11"/>
      <c r="D173" s="11"/>
      <c r="E173" s="13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0"/>
      <c r="X173" s="10"/>
    </row>
    <row r="174" spans="1:24" ht="22.5" customHeight="1">
      <c r="A174" s="11"/>
      <c r="B174" s="11"/>
      <c r="C174" s="11"/>
      <c r="D174" s="11"/>
      <c r="E174" s="13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0"/>
      <c r="X174" s="10"/>
    </row>
    <row r="175" spans="1:24" ht="22.5" customHeight="1">
      <c r="A175" s="11"/>
      <c r="B175" s="11"/>
      <c r="C175" s="11"/>
      <c r="D175" s="11"/>
      <c r="E175" s="13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0"/>
      <c r="X175" s="10"/>
    </row>
    <row r="176" spans="1:24" ht="22.5" customHeight="1">
      <c r="A176" s="11"/>
      <c r="B176" s="11"/>
      <c r="C176" s="11"/>
      <c r="D176" s="11"/>
      <c r="E176" s="13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0"/>
      <c r="X176" s="10"/>
    </row>
    <row r="177" spans="1:24" ht="22.5" customHeight="1">
      <c r="A177" s="11"/>
      <c r="B177" s="11"/>
      <c r="C177" s="11"/>
      <c r="D177" s="11"/>
      <c r="E177" s="13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0"/>
      <c r="X177" s="10"/>
    </row>
    <row r="178" spans="1:24" ht="22.5" customHeight="1">
      <c r="A178" s="11"/>
      <c r="B178" s="11"/>
      <c r="C178" s="11"/>
      <c r="D178" s="11"/>
      <c r="E178" s="13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0"/>
      <c r="X178" s="10"/>
    </row>
    <row r="179" spans="1:24" ht="22.5" customHeight="1">
      <c r="A179" s="11"/>
      <c r="B179" s="11"/>
      <c r="C179" s="11"/>
      <c r="D179" s="11"/>
      <c r="E179" s="13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0"/>
      <c r="X179" s="10"/>
    </row>
    <row r="180" spans="1:24" ht="22.5" customHeight="1">
      <c r="A180" s="11"/>
      <c r="B180" s="11"/>
      <c r="C180" s="11"/>
      <c r="D180" s="11"/>
      <c r="E180" s="13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0"/>
      <c r="X180" s="10"/>
    </row>
    <row r="181" spans="1:24" ht="22.5" customHeight="1">
      <c r="A181" s="11"/>
      <c r="B181" s="11"/>
      <c r="C181" s="11"/>
      <c r="D181" s="11"/>
      <c r="E181" s="13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0"/>
      <c r="X181" s="10"/>
    </row>
    <row r="182" spans="1:24" ht="22.5" customHeight="1">
      <c r="A182" s="11"/>
      <c r="B182" s="11"/>
      <c r="C182" s="11"/>
      <c r="D182" s="11"/>
      <c r="E182" s="1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0"/>
      <c r="X182" s="10"/>
    </row>
    <row r="183" spans="1:24" ht="22.5" customHeight="1">
      <c r="A183" s="11"/>
      <c r="B183" s="11"/>
      <c r="C183" s="11"/>
      <c r="D183" s="11"/>
      <c r="E183" s="1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0"/>
      <c r="X183" s="10"/>
    </row>
    <row r="184" spans="1:24" ht="22.5" customHeight="1">
      <c r="A184" s="11"/>
      <c r="B184" s="11"/>
      <c r="C184" s="11"/>
      <c r="D184" s="11"/>
      <c r="E184" s="1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0"/>
      <c r="X184" s="10"/>
    </row>
    <row r="185" spans="1:24" ht="22.5" customHeight="1">
      <c r="A185" s="11"/>
      <c r="B185" s="11"/>
      <c r="C185" s="11"/>
      <c r="D185" s="11"/>
      <c r="E185" s="13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0"/>
      <c r="X185" s="10"/>
    </row>
    <row r="186" spans="1:24" ht="22.5" customHeight="1">
      <c r="A186" s="11"/>
      <c r="B186" s="11"/>
      <c r="C186" s="11"/>
      <c r="D186" s="11"/>
      <c r="E186" s="1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ht="22.5" customHeight="1">
      <c r="A187" s="11"/>
      <c r="B187" s="11"/>
      <c r="C187" s="11"/>
      <c r="D187" s="11"/>
      <c r="E187" s="1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ht="22.5" customHeight="1">
      <c r="A188" s="11"/>
      <c r="B188" s="11"/>
      <c r="C188" s="11"/>
      <c r="D188" s="11"/>
      <c r="E188" s="13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7"/>
      <c r="X188" s="7"/>
    </row>
    <row r="189" spans="1:24" ht="22.5" customHeight="1">
      <c r="A189" s="11"/>
      <c r="B189" s="11"/>
      <c r="C189" s="11"/>
      <c r="D189" s="11"/>
      <c r="E189" s="13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2"/>
      <c r="X189" s="12"/>
    </row>
    <row r="190" spans="1:24" ht="22.5" customHeight="1">
      <c r="A190" s="11"/>
      <c r="B190" s="11"/>
      <c r="C190" s="11"/>
      <c r="D190" s="11"/>
      <c r="E190" s="13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0"/>
      <c r="X190" s="10"/>
    </row>
    <row r="191" spans="1:24" ht="22.5" customHeight="1">
      <c r="A191" s="11"/>
      <c r="B191" s="11"/>
      <c r="C191" s="11"/>
      <c r="D191" s="11"/>
      <c r="E191" s="13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0"/>
      <c r="X191" s="10"/>
    </row>
    <row r="192" spans="1:24" ht="22.5" customHeight="1">
      <c r="A192" s="11"/>
      <c r="B192" s="11"/>
      <c r="C192" s="11"/>
      <c r="D192" s="11"/>
      <c r="E192" s="13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0"/>
      <c r="X192" s="10"/>
    </row>
    <row r="193" spans="1:24" ht="22.5" customHeight="1">
      <c r="A193" s="11"/>
      <c r="B193" s="11"/>
      <c r="C193" s="11"/>
      <c r="D193" s="11"/>
      <c r="E193" s="13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/>
      <c r="X193" s="10"/>
    </row>
    <row r="194" spans="1:24" ht="22.5" customHeight="1">
      <c r="A194" s="11"/>
      <c r="B194" s="11"/>
      <c r="C194" s="11"/>
      <c r="D194" s="11"/>
      <c r="E194" s="13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0"/>
      <c r="X194" s="10"/>
    </row>
    <row r="195" spans="1:24" ht="22.5" customHeight="1">
      <c r="A195" s="11"/>
      <c r="B195" s="11"/>
      <c r="C195" s="11"/>
      <c r="D195" s="11"/>
      <c r="E195" s="13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0"/>
      <c r="X195" s="10"/>
    </row>
    <row r="196" spans="1:24" ht="22.5" customHeight="1">
      <c r="A196" s="11"/>
      <c r="B196" s="11"/>
      <c r="C196" s="11"/>
      <c r="D196" s="11"/>
      <c r="E196" s="13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0"/>
      <c r="X196" s="10"/>
    </row>
    <row r="197" spans="1:24" ht="22.5" customHeight="1">
      <c r="A197" s="11"/>
      <c r="B197" s="11"/>
      <c r="C197" s="11"/>
      <c r="D197" s="11"/>
      <c r="E197" s="13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0"/>
      <c r="X197" s="10"/>
    </row>
    <row r="198" spans="1:24" ht="22.5" customHeight="1">
      <c r="A198" s="11"/>
      <c r="B198" s="11"/>
      <c r="C198" s="11"/>
      <c r="D198" s="11"/>
      <c r="E198" s="13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0"/>
      <c r="X198" s="10"/>
    </row>
    <row r="199" spans="1:24" ht="22.5" customHeight="1">
      <c r="A199" s="11"/>
      <c r="B199" s="11"/>
      <c r="C199" s="11"/>
      <c r="D199" s="11"/>
      <c r="E199" s="13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0"/>
      <c r="X199" s="10"/>
    </row>
    <row r="200" spans="1:24" ht="22.5" customHeight="1">
      <c r="A200" s="11"/>
      <c r="B200" s="11"/>
      <c r="C200" s="11"/>
      <c r="D200" s="11"/>
      <c r="E200" s="13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0"/>
      <c r="X200" s="10"/>
    </row>
    <row r="201" spans="1:24" ht="22.5" customHeight="1">
      <c r="A201" s="11"/>
      <c r="B201" s="11"/>
      <c r="C201" s="11"/>
      <c r="D201" s="11"/>
      <c r="E201" s="13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0"/>
      <c r="X201" s="10"/>
    </row>
    <row r="202" spans="1:24" ht="22.5" customHeight="1">
      <c r="A202" s="11"/>
      <c r="B202" s="11"/>
      <c r="C202" s="11"/>
      <c r="D202" s="11"/>
      <c r="E202" s="1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0"/>
      <c r="X202" s="10"/>
    </row>
    <row r="203" spans="1:24" ht="22.5" customHeight="1">
      <c r="A203" s="11"/>
      <c r="B203" s="11"/>
      <c r="C203" s="11"/>
      <c r="D203" s="11"/>
      <c r="E203" s="1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ht="22.5" customHeight="1">
      <c r="A204" s="11"/>
      <c r="B204" s="11"/>
      <c r="C204" s="11"/>
      <c r="D204" s="11"/>
      <c r="E204" s="1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ht="22.5" customHeight="1">
      <c r="A205" s="11"/>
      <c r="B205" s="11"/>
      <c r="C205" s="11"/>
      <c r="D205" s="11"/>
      <c r="E205" s="1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7"/>
      <c r="X205" s="7"/>
    </row>
    <row r="206" spans="1:24" ht="22.5" customHeight="1">
      <c r="A206" s="11"/>
      <c r="B206" s="11"/>
      <c r="C206" s="11"/>
      <c r="D206" s="11"/>
      <c r="E206" s="1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2"/>
      <c r="X206" s="12"/>
    </row>
    <row r="207" spans="1:24" ht="22.5" customHeight="1">
      <c r="A207" s="11"/>
      <c r="B207" s="11"/>
      <c r="C207" s="11"/>
      <c r="D207" s="11"/>
      <c r="E207" s="1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0"/>
      <c r="X207" s="10"/>
    </row>
    <row r="208" spans="1:24" ht="22.5" customHeight="1">
      <c r="A208" s="11"/>
      <c r="B208" s="11"/>
      <c r="C208" s="11"/>
      <c r="D208" s="11"/>
      <c r="E208" s="1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0"/>
      <c r="X208" s="10"/>
    </row>
    <row r="209" spans="1:24" ht="22.5" customHeight="1">
      <c r="A209" s="11"/>
      <c r="B209" s="11"/>
      <c r="C209" s="11"/>
      <c r="D209" s="11"/>
      <c r="E209" s="1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0"/>
      <c r="X209" s="10"/>
    </row>
    <row r="210" spans="1:24" ht="22.5" customHeight="1">
      <c r="A210" s="11"/>
      <c r="B210" s="11"/>
      <c r="C210" s="11"/>
      <c r="D210" s="11"/>
      <c r="E210" s="1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0"/>
      <c r="X210" s="10"/>
    </row>
    <row r="211" spans="1:24" ht="22.5" customHeight="1">
      <c r="A211" s="11"/>
      <c r="B211" s="11"/>
      <c r="C211" s="11"/>
      <c r="D211" s="11"/>
      <c r="E211" s="1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0"/>
      <c r="X211" s="10"/>
    </row>
    <row r="212" spans="1:24" ht="22.5" customHeight="1">
      <c r="A212" s="11"/>
      <c r="B212" s="11"/>
      <c r="C212" s="11"/>
      <c r="D212" s="11"/>
      <c r="E212" s="1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0"/>
      <c r="X212" s="10"/>
    </row>
    <row r="213" spans="1:24" ht="22.5" customHeight="1">
      <c r="A213" s="11"/>
      <c r="B213" s="11"/>
      <c r="C213" s="11"/>
      <c r="D213" s="11"/>
      <c r="E213" s="1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0"/>
      <c r="X213" s="10"/>
    </row>
    <row r="214" spans="1:24" ht="22.5" customHeight="1">
      <c r="A214" s="11"/>
      <c r="B214" s="11"/>
      <c r="C214" s="11"/>
      <c r="D214" s="11"/>
      <c r="E214" s="1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0"/>
      <c r="X214" s="10"/>
    </row>
    <row r="215" spans="1:24" ht="22.5" customHeight="1">
      <c r="A215" s="11"/>
      <c r="B215" s="11"/>
      <c r="C215" s="11"/>
      <c r="D215" s="11"/>
      <c r="E215" s="1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0"/>
      <c r="X215" s="10"/>
    </row>
    <row r="216" spans="1:24" ht="22.5" customHeight="1">
      <c r="A216" s="11"/>
      <c r="B216" s="11"/>
      <c r="C216" s="11"/>
      <c r="D216" s="11"/>
      <c r="E216" s="1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0"/>
      <c r="X216" s="10"/>
    </row>
    <row r="217" spans="1:24" ht="22.5" customHeight="1">
      <c r="A217" s="11"/>
      <c r="B217" s="11"/>
      <c r="C217" s="11"/>
      <c r="D217" s="11"/>
      <c r="E217" s="1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0"/>
      <c r="X217" s="10"/>
    </row>
    <row r="218" spans="1:24" ht="22.5" customHeight="1">
      <c r="A218" s="11"/>
      <c r="B218" s="11"/>
      <c r="C218" s="11"/>
      <c r="D218" s="11"/>
      <c r="E218" s="13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0"/>
      <c r="X218" s="10"/>
    </row>
    <row r="219" spans="1:24" ht="22.5" customHeight="1">
      <c r="A219" s="11"/>
      <c r="B219" s="11"/>
      <c r="C219" s="11"/>
      <c r="D219" s="11"/>
      <c r="E219" s="1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0"/>
      <c r="X219" s="10"/>
    </row>
    <row r="220" spans="1:24" ht="22.5" customHeight="1">
      <c r="A220" s="11"/>
      <c r="B220" s="11"/>
      <c r="C220" s="11"/>
      <c r="D220" s="11"/>
      <c r="E220" s="1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ht="22.5" customHeight="1">
      <c r="A221" s="11"/>
      <c r="B221" s="11"/>
      <c r="C221" s="11"/>
      <c r="D221" s="11"/>
      <c r="E221" s="1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ht="22.5" customHeight="1">
      <c r="A222" s="11"/>
      <c r="B222" s="11"/>
      <c r="C222" s="11"/>
      <c r="D222" s="11"/>
      <c r="E222" s="1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7"/>
      <c r="X222" s="7"/>
    </row>
    <row r="223" spans="1:24" ht="22.5" customHeight="1">
      <c r="A223" s="11"/>
      <c r="B223" s="11"/>
      <c r="C223" s="11"/>
      <c r="D223" s="11"/>
      <c r="E223" s="1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2"/>
      <c r="X223" s="12"/>
    </row>
    <row r="224" spans="1:24" ht="22.5" customHeight="1">
      <c r="A224" s="11"/>
      <c r="B224" s="11"/>
      <c r="C224" s="11"/>
      <c r="D224" s="11"/>
      <c r="E224" s="1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0"/>
      <c r="X224" s="10"/>
    </row>
    <row r="225" spans="1:24" ht="22.5" customHeight="1">
      <c r="A225" s="11"/>
      <c r="B225" s="11"/>
      <c r="C225" s="11"/>
      <c r="D225" s="11"/>
      <c r="E225" s="1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0"/>
      <c r="X225" s="10"/>
    </row>
    <row r="226" spans="1:24" ht="22.5" customHeight="1">
      <c r="A226" s="11"/>
      <c r="B226" s="11"/>
      <c r="C226" s="11"/>
      <c r="D226" s="11"/>
      <c r="E226" s="1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0"/>
      <c r="X226" s="10"/>
    </row>
    <row r="227" spans="1:24" ht="22.5" customHeight="1">
      <c r="A227" s="11"/>
      <c r="B227" s="11"/>
      <c r="C227" s="11"/>
      <c r="D227" s="11"/>
      <c r="E227" s="1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0"/>
      <c r="X227" s="10"/>
    </row>
    <row r="228" spans="1:24" ht="22.5" customHeight="1">
      <c r="A228" s="11"/>
      <c r="B228" s="11"/>
      <c r="C228" s="11"/>
      <c r="D228" s="11"/>
      <c r="E228" s="1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0"/>
      <c r="X228" s="10"/>
    </row>
    <row r="229" spans="1:24" ht="22.5" customHeight="1">
      <c r="A229" s="11"/>
      <c r="B229" s="11"/>
      <c r="C229" s="11"/>
      <c r="D229" s="11"/>
      <c r="E229" s="1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0"/>
      <c r="X229" s="10"/>
    </row>
    <row r="230" spans="1:24" ht="22.5" customHeight="1">
      <c r="A230" s="11"/>
      <c r="B230" s="11"/>
      <c r="C230" s="11"/>
      <c r="D230" s="11"/>
      <c r="E230" s="1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0"/>
      <c r="X230" s="10"/>
    </row>
    <row r="231" spans="1:24" ht="22.5" customHeight="1">
      <c r="A231" s="11"/>
      <c r="B231" s="11"/>
      <c r="C231" s="11"/>
      <c r="D231" s="11"/>
      <c r="E231" s="1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0"/>
      <c r="X231" s="10"/>
    </row>
    <row r="232" spans="1:24" ht="22.5" customHeight="1">
      <c r="A232" s="11"/>
      <c r="B232" s="11"/>
      <c r="C232" s="11"/>
      <c r="D232" s="11"/>
      <c r="E232" s="1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0"/>
      <c r="X232" s="10"/>
    </row>
    <row r="233" spans="1:24" ht="22.5" customHeight="1">
      <c r="A233" s="11"/>
      <c r="B233" s="11"/>
      <c r="C233" s="11"/>
      <c r="D233" s="11"/>
      <c r="E233" s="1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0"/>
      <c r="X233" s="10"/>
    </row>
    <row r="234" spans="1:24" ht="22.5" customHeight="1">
      <c r="A234" s="11"/>
      <c r="B234" s="11"/>
      <c r="C234" s="11"/>
      <c r="D234" s="11"/>
      <c r="E234" s="1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0"/>
      <c r="X234" s="10"/>
    </row>
    <row r="235" spans="1:24" ht="22.5" customHeight="1">
      <c r="A235" s="11"/>
      <c r="B235" s="11"/>
      <c r="C235" s="11"/>
      <c r="D235" s="11"/>
      <c r="E235" s="1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0"/>
      <c r="X235" s="10"/>
    </row>
    <row r="236" spans="1:24" ht="22.5" customHeight="1">
      <c r="A236" s="11"/>
      <c r="B236" s="11"/>
      <c r="C236" s="11"/>
      <c r="D236" s="11"/>
      <c r="E236" s="1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0"/>
      <c r="X236" s="10"/>
    </row>
    <row r="237" spans="1:24" ht="22.5" customHeight="1">
      <c r="A237" s="11"/>
      <c r="B237" s="11"/>
      <c r="C237" s="11"/>
      <c r="D237" s="11"/>
      <c r="E237" s="1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spans="1:24" ht="22.5" customHeight="1">
      <c r="A238" s="11"/>
      <c r="B238" s="11"/>
      <c r="C238" s="11"/>
      <c r="D238" s="11"/>
      <c r="E238" s="1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spans="1:24" ht="22.5" customHeight="1">
      <c r="A239" s="11"/>
      <c r="B239" s="11"/>
      <c r="C239" s="11"/>
      <c r="D239" s="11"/>
      <c r="E239" s="1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7"/>
      <c r="X239" s="7"/>
    </row>
    <row r="240" spans="1:24" ht="22.5" customHeight="1">
      <c r="A240" s="11"/>
      <c r="B240" s="11"/>
      <c r="C240" s="11"/>
      <c r="D240" s="11"/>
      <c r="E240" s="1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2"/>
      <c r="X240" s="12"/>
    </row>
    <row r="241" spans="1:24" ht="22.5" customHeight="1">
      <c r="A241" s="11"/>
      <c r="B241" s="11"/>
      <c r="C241" s="11"/>
      <c r="D241" s="11"/>
      <c r="E241" s="1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0"/>
      <c r="X241" s="10"/>
    </row>
    <row r="242" spans="1:24" ht="22.5" customHeight="1">
      <c r="A242" s="11"/>
      <c r="B242" s="11"/>
      <c r="C242" s="11"/>
      <c r="D242" s="11"/>
      <c r="E242" s="1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0"/>
      <c r="X242" s="10"/>
    </row>
    <row r="243" spans="1:24" ht="22.5" customHeight="1">
      <c r="A243" s="11"/>
      <c r="B243" s="11"/>
      <c r="C243" s="11"/>
      <c r="D243" s="11"/>
      <c r="E243" s="1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0"/>
      <c r="X243" s="10"/>
    </row>
    <row r="244" spans="1:24" ht="22.5" customHeight="1">
      <c r="A244" s="11"/>
      <c r="B244" s="11"/>
      <c r="C244" s="11"/>
      <c r="D244" s="11"/>
      <c r="E244" s="1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0"/>
      <c r="X244" s="10"/>
    </row>
    <row r="245" spans="1:24" ht="22.5" customHeight="1">
      <c r="A245" s="11"/>
      <c r="B245" s="11"/>
      <c r="C245" s="11"/>
      <c r="D245" s="11"/>
      <c r="E245" s="1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0"/>
      <c r="X245" s="10"/>
    </row>
    <row r="246" spans="1:24" ht="22.5" customHeight="1">
      <c r="A246" s="11"/>
      <c r="B246" s="11"/>
      <c r="C246" s="11"/>
      <c r="D246" s="11"/>
      <c r="E246" s="1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0"/>
      <c r="X246" s="10"/>
    </row>
    <row r="247" spans="1:24" ht="22.5" customHeight="1">
      <c r="A247" s="11"/>
      <c r="B247" s="11"/>
      <c r="C247" s="11"/>
      <c r="D247" s="11"/>
      <c r="E247" s="1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0"/>
      <c r="X247" s="10"/>
    </row>
    <row r="248" spans="1:24" ht="22.5" customHeight="1">
      <c r="A248" s="11"/>
      <c r="B248" s="11"/>
      <c r="C248" s="11"/>
      <c r="D248" s="11"/>
      <c r="E248" s="1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0"/>
      <c r="X248" s="10"/>
    </row>
    <row r="249" spans="1:24" ht="22.5" customHeight="1">
      <c r="A249" s="11"/>
      <c r="B249" s="11"/>
      <c r="C249" s="11"/>
      <c r="D249" s="11"/>
      <c r="E249" s="1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0"/>
      <c r="X249" s="10"/>
    </row>
    <row r="250" spans="1:24" ht="22.5" customHeight="1">
      <c r="A250" s="11"/>
      <c r="B250" s="11"/>
      <c r="C250" s="11"/>
      <c r="D250" s="11"/>
      <c r="E250" s="1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0"/>
      <c r="X250" s="10"/>
    </row>
    <row r="251" spans="1:24" ht="22.5" customHeight="1">
      <c r="A251" s="11"/>
      <c r="B251" s="11"/>
      <c r="C251" s="11"/>
      <c r="D251" s="11"/>
      <c r="E251" s="1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0"/>
      <c r="X251" s="10"/>
    </row>
    <row r="252" spans="1:24" ht="22.5" customHeight="1">
      <c r="A252" s="11"/>
      <c r="B252" s="11"/>
      <c r="C252" s="11"/>
      <c r="D252" s="11"/>
      <c r="E252" s="1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0"/>
      <c r="X252" s="10"/>
    </row>
    <row r="253" spans="1:24" ht="22.5" customHeight="1">
      <c r="A253" s="11"/>
      <c r="B253" s="11"/>
      <c r="C253" s="11"/>
      <c r="D253" s="11"/>
      <c r="E253" s="1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0"/>
      <c r="X253" s="10"/>
    </row>
    <row r="254" spans="1:24" ht="22.5" customHeight="1">
      <c r="A254" s="11"/>
      <c r="B254" s="11"/>
      <c r="C254" s="11"/>
      <c r="D254" s="11"/>
      <c r="E254" s="1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spans="1:24" ht="22.5" customHeight="1">
      <c r="A255" s="11"/>
      <c r="B255" s="11"/>
      <c r="C255" s="11"/>
      <c r="D255" s="11"/>
      <c r="E255" s="1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spans="1:24" ht="22.5" customHeight="1">
      <c r="A256" s="11"/>
      <c r="B256" s="11"/>
      <c r="C256" s="11"/>
      <c r="D256" s="11"/>
      <c r="E256" s="1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7"/>
      <c r="X256" s="7"/>
    </row>
    <row r="257" spans="1:24" ht="22.5" customHeight="1">
      <c r="A257" s="11"/>
      <c r="B257" s="11"/>
      <c r="C257" s="11"/>
      <c r="D257" s="11"/>
      <c r="E257" s="1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2"/>
      <c r="X257" s="12"/>
    </row>
    <row r="258" spans="1:24" ht="22.5" customHeight="1">
      <c r="A258" s="11"/>
      <c r="B258" s="11"/>
      <c r="C258" s="11"/>
      <c r="D258" s="11"/>
      <c r="E258" s="1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0"/>
      <c r="X258" s="10"/>
    </row>
    <row r="259" spans="1:24" ht="22.5" customHeight="1">
      <c r="A259" s="11"/>
      <c r="B259" s="11"/>
      <c r="C259" s="11"/>
      <c r="D259" s="11"/>
      <c r="E259" s="1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0"/>
      <c r="X259" s="10"/>
    </row>
    <row r="260" spans="1:24" ht="22.5" customHeight="1">
      <c r="A260" s="11"/>
      <c r="B260" s="11"/>
      <c r="C260" s="11"/>
      <c r="D260" s="11"/>
      <c r="E260" s="1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0"/>
      <c r="X260" s="10"/>
    </row>
    <row r="261" spans="1:24" ht="22.5" customHeight="1">
      <c r="A261" s="11"/>
      <c r="B261" s="11"/>
      <c r="C261" s="11"/>
      <c r="D261" s="11"/>
      <c r="E261" s="1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0"/>
      <c r="X261" s="10"/>
    </row>
    <row r="262" spans="1:24" ht="22.5" customHeight="1">
      <c r="A262" s="11"/>
      <c r="B262" s="11"/>
      <c r="C262" s="11"/>
      <c r="D262" s="11"/>
      <c r="E262" s="1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0"/>
      <c r="X262" s="10"/>
    </row>
    <row r="263" spans="1:24" ht="22.5" customHeight="1">
      <c r="A263" s="11"/>
      <c r="B263" s="11"/>
      <c r="C263" s="11"/>
      <c r="D263" s="11"/>
      <c r="E263" s="1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0"/>
      <c r="X263" s="10"/>
    </row>
    <row r="264" spans="1:24" ht="22.5" customHeight="1">
      <c r="A264" s="11"/>
      <c r="B264" s="11"/>
      <c r="C264" s="11"/>
      <c r="D264" s="11"/>
      <c r="E264" s="1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0"/>
      <c r="X264" s="10"/>
    </row>
    <row r="265" spans="1:24" ht="22.5" customHeight="1">
      <c r="A265" s="11"/>
      <c r="B265" s="11"/>
      <c r="C265" s="11"/>
      <c r="D265" s="11"/>
      <c r="E265" s="1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0"/>
      <c r="X265" s="10"/>
    </row>
    <row r="266" spans="1:24" ht="22.5" customHeight="1">
      <c r="A266" s="11"/>
      <c r="B266" s="11"/>
      <c r="C266" s="11"/>
      <c r="D266" s="11"/>
      <c r="E266" s="1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0"/>
      <c r="X266" s="10"/>
    </row>
    <row r="267" spans="1:24" ht="22.5" customHeight="1">
      <c r="A267" s="11"/>
      <c r="B267" s="11"/>
      <c r="C267" s="11"/>
      <c r="D267" s="11"/>
      <c r="E267" s="1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0"/>
      <c r="X267" s="10"/>
    </row>
    <row r="268" spans="1:24" ht="22.5" customHeight="1">
      <c r="A268" s="11"/>
      <c r="B268" s="11"/>
      <c r="C268" s="11"/>
      <c r="D268" s="11"/>
      <c r="E268" s="1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/>
      <c r="X268" s="10"/>
    </row>
    <row r="269" spans="1:24" ht="22.5" customHeight="1">
      <c r="A269" s="11"/>
      <c r="B269" s="11"/>
      <c r="C269" s="11"/>
      <c r="D269" s="11"/>
      <c r="E269" s="1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0"/>
      <c r="X269" s="10"/>
    </row>
    <row r="270" spans="1:24" ht="22.5" customHeight="1">
      <c r="A270" s="11"/>
      <c r="B270" s="11"/>
      <c r="C270" s="11"/>
      <c r="D270" s="11"/>
      <c r="E270" s="13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0"/>
      <c r="X270" s="10"/>
    </row>
    <row r="271" spans="1:24" ht="22.5" customHeight="1">
      <c r="A271" s="11"/>
      <c r="B271" s="11"/>
      <c r="C271" s="11"/>
      <c r="D271" s="11"/>
      <c r="E271" s="13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spans="1:24" ht="22.5" customHeight="1">
      <c r="A272" s="11"/>
      <c r="B272" s="11"/>
      <c r="C272" s="11"/>
      <c r="D272" s="11"/>
      <c r="E272" s="13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 spans="1:24" ht="22.5" customHeight="1">
      <c r="A273" s="11"/>
      <c r="B273" s="11"/>
      <c r="C273" s="11"/>
      <c r="D273" s="11"/>
      <c r="E273" s="1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7"/>
      <c r="X273" s="7"/>
    </row>
    <row r="274" spans="1:24" ht="22.5" customHeight="1">
      <c r="A274" s="11"/>
      <c r="B274" s="11"/>
      <c r="C274" s="11"/>
      <c r="D274" s="11"/>
      <c r="E274" s="13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2"/>
      <c r="X274" s="12"/>
    </row>
    <row r="275" spans="1:24" ht="22.5" customHeight="1">
      <c r="A275" s="11"/>
      <c r="B275" s="11"/>
      <c r="C275" s="11"/>
      <c r="D275" s="11"/>
      <c r="E275" s="1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0"/>
      <c r="X275" s="10"/>
    </row>
    <row r="276" spans="1:24" ht="22.5" customHeight="1">
      <c r="A276" s="11"/>
      <c r="B276" s="11"/>
      <c r="C276" s="11"/>
      <c r="D276" s="11"/>
      <c r="E276" s="1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0"/>
      <c r="X276" s="10"/>
    </row>
    <row r="277" spans="1:24" ht="22.5" customHeight="1">
      <c r="A277" s="11"/>
      <c r="B277" s="11"/>
      <c r="C277" s="11"/>
      <c r="D277" s="11"/>
      <c r="E277" s="1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0"/>
      <c r="X277" s="10"/>
    </row>
    <row r="278" spans="1:24" ht="22.5" customHeight="1">
      <c r="A278" s="11"/>
      <c r="B278" s="11"/>
      <c r="C278" s="11"/>
      <c r="D278" s="11"/>
      <c r="E278" s="1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0"/>
      <c r="X278" s="10"/>
    </row>
    <row r="279" spans="1:24" ht="22.5" customHeight="1">
      <c r="A279" s="11"/>
      <c r="B279" s="11"/>
      <c r="C279" s="11"/>
      <c r="D279" s="11"/>
      <c r="E279" s="1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0"/>
      <c r="X279" s="10"/>
    </row>
    <row r="280" spans="1:24" ht="22.5" customHeight="1">
      <c r="A280" s="11"/>
      <c r="B280" s="11"/>
      <c r="C280" s="11"/>
      <c r="D280" s="11"/>
      <c r="E280" s="1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0"/>
      <c r="X280" s="10"/>
    </row>
    <row r="281" spans="1:24" ht="22.5" customHeight="1">
      <c r="A281" s="11"/>
      <c r="B281" s="11"/>
      <c r="C281" s="11"/>
      <c r="D281" s="11"/>
      <c r="E281" s="1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/>
      <c r="X281" s="10"/>
    </row>
    <row r="282" spans="1:24" ht="22.5" customHeight="1">
      <c r="A282" s="11"/>
      <c r="B282" s="11"/>
      <c r="C282" s="11"/>
      <c r="D282" s="11"/>
      <c r="E282" s="13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/>
      <c r="X282" s="10"/>
    </row>
    <row r="283" spans="1:24" ht="22.5" customHeight="1">
      <c r="A283" s="11"/>
      <c r="B283" s="11"/>
      <c r="C283" s="11"/>
      <c r="D283" s="11"/>
      <c r="E283" s="1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0"/>
      <c r="X283" s="10"/>
    </row>
    <row r="284" spans="1:24" ht="22.5" customHeight="1">
      <c r="A284" s="11"/>
      <c r="B284" s="11"/>
      <c r="C284" s="11"/>
      <c r="D284" s="11"/>
      <c r="E284" s="13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0"/>
      <c r="X284" s="10"/>
    </row>
    <row r="285" spans="1:24" ht="22.5" customHeight="1">
      <c r="A285" s="11"/>
      <c r="B285" s="11"/>
      <c r="C285" s="11"/>
      <c r="D285" s="11"/>
      <c r="E285" s="1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/>
      <c r="X285" s="10"/>
    </row>
    <row r="286" spans="1:24" ht="22.5" customHeight="1">
      <c r="A286" s="11"/>
      <c r="B286" s="11"/>
      <c r="C286" s="11"/>
      <c r="D286" s="11"/>
      <c r="E286" s="1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0"/>
      <c r="X286" s="10"/>
    </row>
    <row r="287" spans="1:24" ht="22.5" customHeight="1">
      <c r="A287" s="11"/>
      <c r="B287" s="11"/>
      <c r="C287" s="11"/>
      <c r="D287" s="11"/>
      <c r="E287" s="1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/>
      <c r="X287" s="10"/>
    </row>
    <row r="288" spans="1:24" ht="22.5" customHeight="1">
      <c r="A288" s="11"/>
      <c r="B288" s="11"/>
      <c r="C288" s="11"/>
      <c r="D288" s="11"/>
      <c r="E288" s="1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 spans="1:24" ht="22.5" customHeight="1">
      <c r="A289" s="11"/>
      <c r="B289" s="11"/>
      <c r="C289" s="11"/>
      <c r="D289" s="11"/>
      <c r="E289" s="13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 spans="1:24" ht="22.5" customHeight="1">
      <c r="A290" s="11"/>
      <c r="B290" s="11"/>
      <c r="C290" s="11"/>
      <c r="D290" s="11"/>
      <c r="E290" s="1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7"/>
      <c r="X290" s="7"/>
    </row>
    <row r="291" spans="1:24" ht="22.5" customHeight="1">
      <c r="A291" s="11"/>
      <c r="B291" s="11"/>
      <c r="C291" s="11"/>
      <c r="D291" s="11"/>
      <c r="E291" s="1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2"/>
      <c r="X291" s="12"/>
    </row>
    <row r="292" spans="1:24" ht="22.5" customHeight="1">
      <c r="A292" s="11"/>
      <c r="B292" s="11"/>
      <c r="C292" s="11"/>
      <c r="D292" s="11"/>
      <c r="E292" s="1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/>
      <c r="X292" s="10"/>
    </row>
    <row r="293" spans="1:24" ht="22.5" customHeight="1">
      <c r="A293" s="11"/>
      <c r="B293" s="11"/>
      <c r="C293" s="11"/>
      <c r="D293" s="11"/>
      <c r="E293" s="1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0"/>
      <c r="X293" s="10"/>
    </row>
    <row r="294" spans="1:24" ht="22.5" customHeight="1">
      <c r="A294" s="11"/>
      <c r="B294" s="11"/>
      <c r="C294" s="11"/>
      <c r="D294" s="11"/>
      <c r="E294" s="1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/>
      <c r="X294" s="10"/>
    </row>
    <row r="295" spans="1:24" ht="22.5" customHeight="1">
      <c r="A295" s="11"/>
      <c r="B295" s="11"/>
      <c r="C295" s="11"/>
      <c r="D295" s="11"/>
      <c r="E295" s="1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/>
      <c r="X295" s="10"/>
    </row>
    <row r="296" spans="1:24" ht="22.5" customHeight="1">
      <c r="A296" s="11"/>
      <c r="B296" s="11"/>
      <c r="C296" s="11"/>
      <c r="D296" s="11"/>
      <c r="E296" s="1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/>
      <c r="X296" s="10"/>
    </row>
    <row r="297" spans="1:24" ht="22.5" customHeight="1">
      <c r="A297" s="11"/>
      <c r="B297" s="11"/>
      <c r="C297" s="11"/>
      <c r="D297" s="11"/>
      <c r="E297" s="13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/>
      <c r="X297" s="10"/>
    </row>
    <row r="298" spans="1:24" ht="22.5" customHeight="1">
      <c r="A298" s="11"/>
      <c r="B298" s="11"/>
      <c r="C298" s="11"/>
      <c r="D298" s="11"/>
      <c r="E298" s="1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/>
      <c r="X298" s="10"/>
    </row>
    <row r="299" spans="1:24" ht="22.5" customHeight="1">
      <c r="A299" s="11"/>
      <c r="B299" s="11"/>
      <c r="C299" s="11"/>
      <c r="D299" s="11"/>
      <c r="E299" s="1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/>
      <c r="X299" s="10"/>
    </row>
    <row r="300" spans="1:24" ht="22.5" customHeight="1">
      <c r="A300" s="11"/>
      <c r="B300" s="11"/>
      <c r="C300" s="11"/>
      <c r="D300" s="11"/>
      <c r="E300" s="13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/>
      <c r="X300" s="10"/>
    </row>
    <row r="301" spans="1:24" ht="22.5" customHeight="1">
      <c r="A301" s="11"/>
      <c r="B301" s="11"/>
      <c r="C301" s="11"/>
      <c r="D301" s="11"/>
      <c r="E301" s="1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/>
      <c r="X301" s="10"/>
    </row>
    <row r="302" spans="1:24" ht="22.5" customHeight="1">
      <c r="A302" s="11"/>
      <c r="B302" s="11"/>
      <c r="C302" s="11"/>
      <c r="D302" s="11"/>
      <c r="E302" s="1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/>
      <c r="X302" s="10"/>
    </row>
    <row r="303" spans="1:24" ht="22.5" customHeight="1">
      <c r="A303" s="11"/>
      <c r="B303" s="11"/>
      <c r="C303" s="11"/>
      <c r="D303" s="11"/>
      <c r="E303" s="1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/>
      <c r="X303" s="10"/>
    </row>
    <row r="304" spans="1:24" ht="22.5" customHeight="1">
      <c r="A304" s="11"/>
      <c r="B304" s="11"/>
      <c r="C304" s="11"/>
      <c r="D304" s="11"/>
      <c r="E304" s="1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/>
      <c r="X304" s="10"/>
    </row>
    <row r="305" spans="1:24" ht="22.5" customHeight="1">
      <c r="A305" s="11"/>
      <c r="B305" s="11"/>
      <c r="C305" s="11"/>
      <c r="D305" s="11"/>
      <c r="E305" s="1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 spans="1:24" ht="22.5" customHeight="1">
      <c r="A306" s="11"/>
      <c r="B306" s="11"/>
      <c r="C306" s="11"/>
      <c r="D306" s="11"/>
      <c r="E306" s="1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 spans="1:24" ht="22.5" customHeight="1">
      <c r="A307" s="11"/>
      <c r="B307" s="11"/>
      <c r="C307" s="11"/>
      <c r="D307" s="11"/>
      <c r="E307" s="1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7"/>
      <c r="X307" s="7"/>
    </row>
    <row r="308" spans="1:24" ht="22.5" customHeight="1">
      <c r="A308" s="11"/>
      <c r="B308" s="11"/>
      <c r="C308" s="11"/>
      <c r="D308" s="11"/>
      <c r="E308" s="1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2"/>
      <c r="X308" s="12"/>
    </row>
    <row r="309" spans="1:24" ht="22.5" customHeight="1">
      <c r="A309" s="11"/>
      <c r="B309" s="11"/>
      <c r="C309" s="11"/>
      <c r="D309" s="11"/>
      <c r="E309" s="1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0"/>
      <c r="X309" s="10"/>
    </row>
    <row r="310" spans="1:24" ht="22.5" customHeight="1">
      <c r="A310" s="11"/>
      <c r="B310" s="11"/>
      <c r="C310" s="11"/>
      <c r="D310" s="11"/>
      <c r="E310" s="13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/>
      <c r="X310" s="10"/>
    </row>
    <row r="311" spans="1:24" ht="22.5" customHeight="1">
      <c r="A311" s="11"/>
      <c r="B311" s="11"/>
      <c r="C311" s="11"/>
      <c r="D311" s="11"/>
      <c r="E311" s="13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0"/>
      <c r="X311" s="10"/>
    </row>
    <row r="312" spans="1:24" ht="22.5" customHeight="1">
      <c r="A312" s="11"/>
      <c r="B312" s="11"/>
      <c r="C312" s="11"/>
      <c r="D312" s="11"/>
      <c r="E312" s="13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/>
      <c r="X312" s="10"/>
    </row>
    <row r="313" spans="1:24" ht="22.5" customHeight="1">
      <c r="A313" s="11"/>
      <c r="B313" s="11"/>
      <c r="C313" s="11"/>
      <c r="D313" s="11"/>
      <c r="E313" s="1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0"/>
      <c r="X313" s="10"/>
    </row>
    <row r="314" spans="1:24" ht="22.5" customHeight="1">
      <c r="A314" s="11"/>
      <c r="B314" s="11"/>
      <c r="C314" s="11"/>
      <c r="D314" s="11"/>
      <c r="E314" s="1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0"/>
      <c r="X314" s="10"/>
    </row>
    <row r="315" spans="1:24" ht="22.5" customHeight="1">
      <c r="A315" s="11"/>
      <c r="B315" s="11"/>
      <c r="C315" s="11"/>
      <c r="D315" s="11"/>
      <c r="E315" s="1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0"/>
      <c r="X315" s="10"/>
    </row>
    <row r="316" spans="1:24" ht="22.5" customHeight="1">
      <c r="A316" s="11"/>
      <c r="B316" s="11"/>
      <c r="C316" s="11"/>
      <c r="D316" s="11"/>
      <c r="E316" s="1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/>
      <c r="X316" s="10"/>
    </row>
    <row r="317" spans="1:24" ht="22.5" customHeight="1">
      <c r="A317" s="11"/>
      <c r="B317" s="11"/>
      <c r="C317" s="11"/>
      <c r="D317" s="11"/>
      <c r="E317" s="1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0"/>
      <c r="X317" s="10"/>
    </row>
    <row r="318" spans="1:24" ht="22.5" customHeight="1">
      <c r="A318" s="11"/>
      <c r="B318" s="11"/>
      <c r="C318" s="11"/>
      <c r="D318" s="11"/>
      <c r="E318" s="13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0"/>
      <c r="X318" s="10"/>
    </row>
    <row r="319" spans="1:24" ht="22.5" customHeight="1">
      <c r="A319" s="11"/>
      <c r="B319" s="11"/>
      <c r="C319" s="11"/>
      <c r="D319" s="11"/>
      <c r="E319" s="1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0"/>
      <c r="X319" s="10"/>
    </row>
    <row r="320" spans="1:24" ht="22.5" customHeight="1">
      <c r="A320" s="11"/>
      <c r="B320" s="11"/>
      <c r="C320" s="11"/>
      <c r="D320" s="11"/>
      <c r="E320" s="1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/>
      <c r="X320" s="10"/>
    </row>
    <row r="321" spans="1:24" ht="22.5" customHeight="1">
      <c r="A321" s="11"/>
      <c r="B321" s="11"/>
      <c r="C321" s="11"/>
      <c r="D321" s="11"/>
      <c r="E321" s="1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0"/>
      <c r="X321" s="10"/>
    </row>
    <row r="322" spans="1:24" ht="22.5" customHeight="1">
      <c r="A322" s="11"/>
      <c r="B322" s="11"/>
      <c r="C322" s="11"/>
      <c r="D322" s="11"/>
      <c r="E322" s="1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 spans="1:24" ht="22.5" customHeight="1">
      <c r="A323" s="11"/>
      <c r="B323" s="11"/>
      <c r="C323" s="11"/>
      <c r="D323" s="11"/>
      <c r="E323" s="1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 spans="1:24" ht="22.5" customHeight="1">
      <c r="A324" s="11"/>
      <c r="B324" s="11"/>
      <c r="C324" s="11"/>
      <c r="D324" s="11"/>
      <c r="E324" s="1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7"/>
      <c r="X324" s="7"/>
    </row>
    <row r="325" spans="1:24" ht="22.5" customHeight="1">
      <c r="A325" s="11"/>
      <c r="B325" s="11"/>
      <c r="C325" s="11"/>
      <c r="D325" s="11"/>
      <c r="E325" s="1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2"/>
      <c r="X325" s="12"/>
    </row>
    <row r="326" spans="1:24" ht="22.5" customHeight="1">
      <c r="A326" s="11"/>
      <c r="B326" s="11"/>
      <c r="C326" s="11"/>
      <c r="D326" s="11"/>
      <c r="E326" s="1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0"/>
      <c r="X326" s="10"/>
    </row>
    <row r="327" spans="1:24" ht="22.5" customHeight="1">
      <c r="A327" s="11"/>
      <c r="B327" s="11"/>
      <c r="C327" s="11"/>
      <c r="D327" s="11"/>
      <c r="E327" s="1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0"/>
      <c r="X327" s="10"/>
    </row>
    <row r="328" spans="1:24" ht="22.5" customHeight="1">
      <c r="A328" s="11"/>
      <c r="B328" s="11"/>
      <c r="C328" s="11"/>
      <c r="D328" s="11"/>
      <c r="E328" s="13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/>
      <c r="X328" s="10"/>
    </row>
    <row r="329" spans="1:24" ht="22.5" customHeight="1">
      <c r="A329" s="11"/>
      <c r="B329" s="11"/>
      <c r="C329" s="11"/>
      <c r="D329" s="11"/>
      <c r="E329" s="13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/>
      <c r="X329" s="10"/>
    </row>
    <row r="330" spans="1:24" ht="22.5" customHeight="1">
      <c r="A330" s="11"/>
      <c r="B330" s="11"/>
      <c r="C330" s="11"/>
      <c r="D330" s="11"/>
      <c r="E330" s="13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0"/>
      <c r="X330" s="10"/>
    </row>
    <row r="331" spans="1:24" ht="22.5" customHeight="1">
      <c r="A331" s="11"/>
      <c r="B331" s="11"/>
      <c r="C331" s="11"/>
      <c r="D331" s="11"/>
      <c r="E331" s="13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0"/>
      <c r="X331" s="10"/>
    </row>
    <row r="332" spans="1:24" ht="22.5" customHeight="1">
      <c r="A332" s="11"/>
      <c r="B332" s="11"/>
      <c r="C332" s="11"/>
      <c r="D332" s="11"/>
      <c r="E332" s="13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0"/>
      <c r="X332" s="10"/>
    </row>
    <row r="333" spans="1:24" ht="22.5" customHeight="1">
      <c r="A333" s="11"/>
      <c r="B333" s="11"/>
      <c r="C333" s="11"/>
      <c r="D333" s="11"/>
      <c r="E333" s="13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0"/>
      <c r="X333" s="10"/>
    </row>
    <row r="334" spans="1:24" ht="22.5" customHeight="1">
      <c r="A334" s="11"/>
      <c r="B334" s="11"/>
      <c r="C334" s="11"/>
      <c r="D334" s="11"/>
      <c r="E334" s="13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0"/>
      <c r="X334" s="10"/>
    </row>
    <row r="335" spans="1:24" ht="22.5" customHeight="1">
      <c r="A335" s="11"/>
      <c r="B335" s="11"/>
      <c r="C335" s="11"/>
      <c r="D335" s="11"/>
      <c r="E335" s="13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0"/>
      <c r="X335" s="10"/>
    </row>
    <row r="336" spans="1:24" ht="22.5" customHeight="1">
      <c r="A336" s="11"/>
      <c r="B336" s="11"/>
      <c r="C336" s="11"/>
      <c r="D336" s="11"/>
      <c r="E336" s="13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0"/>
      <c r="X336" s="10"/>
    </row>
    <row r="337" spans="1:24" ht="22.5" customHeight="1">
      <c r="A337" s="11"/>
      <c r="B337" s="11"/>
      <c r="C337" s="11"/>
      <c r="D337" s="11"/>
      <c r="E337" s="13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0"/>
      <c r="X337" s="10"/>
    </row>
    <row r="338" spans="1:24" ht="22.5" customHeight="1">
      <c r="A338" s="11"/>
      <c r="B338" s="11"/>
      <c r="C338" s="11"/>
      <c r="D338" s="11"/>
      <c r="E338" s="13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0"/>
      <c r="X338" s="10"/>
    </row>
    <row r="339" spans="1:24" ht="22.5" customHeight="1">
      <c r="A339" s="11"/>
      <c r="B339" s="11"/>
      <c r="C339" s="11"/>
      <c r="D339" s="11"/>
      <c r="E339" s="13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 spans="1:24" ht="22.5" customHeight="1">
      <c r="A340" s="11"/>
      <c r="B340" s="11"/>
      <c r="C340" s="11"/>
      <c r="D340" s="11"/>
      <c r="E340" s="13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 spans="1:24" ht="22.5" customHeight="1">
      <c r="A341" s="11"/>
      <c r="B341" s="11"/>
      <c r="C341" s="11"/>
      <c r="D341" s="11"/>
      <c r="E341" s="13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7"/>
      <c r="X341" s="7"/>
    </row>
    <row r="342" spans="1:24" ht="22.5" customHeight="1">
      <c r="A342" s="11"/>
      <c r="B342" s="11"/>
      <c r="C342" s="11"/>
      <c r="D342" s="11"/>
      <c r="E342" s="13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2"/>
      <c r="X342" s="12"/>
    </row>
    <row r="343" spans="1:24" ht="22.5" customHeight="1">
      <c r="A343" s="11"/>
      <c r="B343" s="11"/>
      <c r="C343" s="11"/>
      <c r="D343" s="11"/>
      <c r="E343" s="13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0"/>
      <c r="X343" s="10"/>
    </row>
    <row r="344" spans="1:24" ht="22.5" customHeight="1">
      <c r="A344" s="11"/>
      <c r="B344" s="11"/>
      <c r="C344" s="11"/>
      <c r="D344" s="11"/>
      <c r="E344" s="13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0"/>
      <c r="X344" s="10"/>
    </row>
    <row r="345" spans="1:24" ht="22.5" customHeight="1">
      <c r="A345" s="11"/>
      <c r="B345" s="11"/>
      <c r="C345" s="11"/>
      <c r="D345" s="11"/>
      <c r="E345" s="13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0"/>
      <c r="X345" s="10"/>
    </row>
    <row r="346" spans="1:24" ht="22.5" customHeight="1">
      <c r="A346" s="11"/>
      <c r="B346" s="11"/>
      <c r="C346" s="11"/>
      <c r="D346" s="11"/>
      <c r="E346" s="13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0"/>
      <c r="X346" s="10"/>
    </row>
    <row r="347" spans="1:24" ht="22.5" customHeight="1">
      <c r="A347" s="11"/>
      <c r="B347" s="11"/>
      <c r="C347" s="11"/>
      <c r="D347" s="11"/>
      <c r="E347" s="13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0"/>
      <c r="X347" s="10"/>
    </row>
    <row r="348" spans="1:24" ht="22.5" customHeight="1">
      <c r="A348" s="11"/>
      <c r="B348" s="11"/>
      <c r="C348" s="11"/>
      <c r="D348" s="11"/>
      <c r="E348" s="13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0"/>
      <c r="X348" s="10"/>
    </row>
    <row r="349" spans="1:24" ht="22.5" customHeight="1">
      <c r="A349" s="11"/>
      <c r="B349" s="11"/>
      <c r="C349" s="11"/>
      <c r="D349" s="11"/>
      <c r="E349" s="13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0"/>
      <c r="X349" s="10"/>
    </row>
    <row r="350" spans="1:24" ht="22.5" customHeight="1">
      <c r="A350" s="11"/>
      <c r="B350" s="11"/>
      <c r="C350" s="11"/>
      <c r="D350" s="11"/>
      <c r="E350" s="13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0"/>
      <c r="X350" s="10"/>
    </row>
    <row r="351" spans="1:24" ht="22.5" customHeight="1">
      <c r="A351" s="11"/>
      <c r="B351" s="11"/>
      <c r="C351" s="11"/>
      <c r="D351" s="11"/>
      <c r="E351" s="13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0"/>
      <c r="X351" s="10"/>
    </row>
    <row r="352" spans="1:24" ht="22.5" customHeight="1">
      <c r="A352" s="11"/>
      <c r="B352" s="11"/>
      <c r="C352" s="11"/>
      <c r="D352" s="11"/>
      <c r="E352" s="13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/>
      <c r="X352" s="10"/>
    </row>
    <row r="353" spans="1:24" ht="22.5" customHeight="1">
      <c r="A353" s="11"/>
      <c r="B353" s="11"/>
      <c r="C353" s="11"/>
      <c r="D353" s="11"/>
      <c r="E353" s="13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0"/>
      <c r="X353" s="10"/>
    </row>
    <row r="354" spans="1:24" ht="22.5" customHeight="1">
      <c r="A354" s="11"/>
      <c r="B354" s="11"/>
      <c r="C354" s="11"/>
      <c r="D354" s="11"/>
      <c r="E354" s="13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0"/>
      <c r="X354" s="10"/>
    </row>
    <row r="355" spans="1:24" ht="22.5" customHeight="1">
      <c r="A355" s="11"/>
      <c r="B355" s="11"/>
      <c r="C355" s="11"/>
      <c r="D355" s="11"/>
      <c r="E355" s="13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0"/>
      <c r="X355" s="10"/>
    </row>
    <row r="356" spans="1:24" ht="22.5" customHeight="1">
      <c r="A356" s="11"/>
      <c r="B356" s="11"/>
      <c r="C356" s="11"/>
      <c r="D356" s="11"/>
      <c r="E356" s="13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 spans="1:24" ht="22.5" customHeight="1">
      <c r="A357" s="11"/>
      <c r="B357" s="11"/>
      <c r="C357" s="11"/>
      <c r="D357" s="11"/>
      <c r="E357" s="13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 spans="1:24" ht="22.5" customHeight="1">
      <c r="A358" s="11"/>
      <c r="B358" s="11"/>
      <c r="C358" s="11"/>
      <c r="D358" s="11"/>
      <c r="E358" s="13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7"/>
      <c r="X358" s="7"/>
    </row>
    <row r="359" spans="1:24" ht="22.5" customHeight="1">
      <c r="A359" s="11"/>
      <c r="B359" s="11"/>
      <c r="C359" s="11"/>
      <c r="D359" s="11"/>
      <c r="E359" s="13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2"/>
      <c r="X359" s="12"/>
    </row>
    <row r="360" spans="1:24" ht="22.5" customHeight="1">
      <c r="A360" s="11"/>
      <c r="B360" s="11"/>
      <c r="C360" s="11"/>
      <c r="D360" s="11"/>
      <c r="E360" s="13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0"/>
      <c r="X360" s="10"/>
    </row>
    <row r="361" spans="1:24" ht="22.5" customHeight="1">
      <c r="A361" s="11"/>
      <c r="B361" s="11"/>
      <c r="C361" s="11"/>
      <c r="D361" s="11"/>
      <c r="E361" s="13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0"/>
      <c r="X361" s="10"/>
    </row>
    <row r="362" spans="1:24" ht="22.5" customHeight="1">
      <c r="A362" s="11"/>
      <c r="B362" s="11"/>
      <c r="C362" s="11"/>
      <c r="D362" s="11"/>
      <c r="E362" s="13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0"/>
      <c r="X362" s="10"/>
    </row>
    <row r="363" spans="1:24" ht="22.5" customHeight="1">
      <c r="A363" s="11"/>
      <c r="B363" s="11"/>
      <c r="C363" s="11"/>
      <c r="D363" s="11"/>
      <c r="E363" s="13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0"/>
      <c r="X363" s="10"/>
    </row>
    <row r="364" spans="1:24" ht="22.5" customHeight="1">
      <c r="A364" s="11"/>
      <c r="B364" s="11"/>
      <c r="C364" s="11"/>
      <c r="D364" s="11"/>
      <c r="E364" s="13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0"/>
      <c r="X364" s="10"/>
    </row>
    <row r="365" spans="1:24" ht="22.5" customHeight="1">
      <c r="A365" s="11"/>
      <c r="B365" s="11"/>
      <c r="C365" s="11"/>
      <c r="D365" s="11"/>
      <c r="E365" s="13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0"/>
      <c r="X365" s="10"/>
    </row>
    <row r="366" spans="1:24" ht="22.5" customHeight="1">
      <c r="A366" s="11"/>
      <c r="B366" s="11"/>
      <c r="C366" s="11"/>
      <c r="D366" s="11"/>
      <c r="E366" s="13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0"/>
      <c r="X366" s="10"/>
    </row>
    <row r="367" spans="1:24" ht="22.5" customHeight="1">
      <c r="A367" s="11"/>
      <c r="B367" s="11"/>
      <c r="C367" s="11"/>
      <c r="D367" s="11"/>
      <c r="E367" s="13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0"/>
      <c r="X367" s="10"/>
    </row>
    <row r="368" spans="1:24" ht="22.5" customHeight="1">
      <c r="A368" s="11"/>
      <c r="B368" s="11"/>
      <c r="C368" s="11"/>
      <c r="D368" s="11"/>
      <c r="E368" s="13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0"/>
      <c r="X368" s="10"/>
    </row>
    <row r="369" spans="1:24" ht="22.5" customHeight="1">
      <c r="A369" s="11"/>
      <c r="B369" s="11"/>
      <c r="C369" s="11"/>
      <c r="D369" s="11"/>
      <c r="E369" s="13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0"/>
      <c r="X369" s="10"/>
    </row>
    <row r="370" spans="1:24" ht="22.5" customHeight="1">
      <c r="A370" s="11"/>
      <c r="B370" s="11"/>
      <c r="C370" s="11"/>
      <c r="D370" s="11"/>
      <c r="E370" s="13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0"/>
      <c r="X370" s="10"/>
    </row>
    <row r="371" spans="1:24" ht="22.5" customHeight="1">
      <c r="A371" s="11"/>
      <c r="B371" s="11"/>
      <c r="C371" s="11"/>
      <c r="D371" s="11"/>
      <c r="E371" s="13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0"/>
      <c r="X371" s="10"/>
    </row>
    <row r="372" spans="1:24" ht="22.5" customHeight="1">
      <c r="A372" s="11"/>
      <c r="B372" s="11"/>
      <c r="C372" s="11"/>
      <c r="D372" s="11"/>
      <c r="E372" s="13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0"/>
      <c r="X372" s="10"/>
    </row>
    <row r="373" spans="1:24" ht="22.5" customHeight="1">
      <c r="A373" s="11"/>
      <c r="B373" s="11"/>
      <c r="C373" s="11"/>
      <c r="D373" s="11"/>
      <c r="E373" s="13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 spans="1:24" ht="22.5" customHeight="1">
      <c r="A374" s="11"/>
      <c r="B374" s="11"/>
      <c r="C374" s="11"/>
      <c r="D374" s="11"/>
      <c r="E374" s="13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 spans="1:24" ht="22.5" customHeight="1">
      <c r="A375" s="11"/>
      <c r="B375" s="11"/>
      <c r="C375" s="11"/>
      <c r="D375" s="11"/>
      <c r="E375" s="13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7"/>
      <c r="X375" s="7"/>
    </row>
    <row r="376" spans="1:24" ht="22.5" customHeight="1">
      <c r="A376" s="11"/>
      <c r="B376" s="11"/>
      <c r="C376" s="11"/>
      <c r="D376" s="11"/>
      <c r="E376" s="13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2"/>
      <c r="X376" s="12"/>
    </row>
    <row r="377" spans="1:24" ht="22.5" customHeight="1">
      <c r="A377" s="11"/>
      <c r="B377" s="11"/>
      <c r="C377" s="11"/>
      <c r="D377" s="11"/>
      <c r="E377" s="13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0"/>
      <c r="X377" s="10"/>
    </row>
    <row r="378" spans="1:24" ht="22.5" customHeight="1">
      <c r="A378" s="11"/>
      <c r="B378" s="11"/>
      <c r="C378" s="11"/>
      <c r="D378" s="11"/>
      <c r="E378" s="13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0"/>
      <c r="X378" s="10"/>
    </row>
    <row r="379" spans="1:24" ht="22.5" customHeight="1">
      <c r="A379" s="11"/>
      <c r="B379" s="11"/>
      <c r="C379" s="11"/>
      <c r="D379" s="11"/>
      <c r="E379" s="13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0"/>
      <c r="X379" s="10"/>
    </row>
    <row r="380" spans="1:24" ht="22.5" customHeight="1">
      <c r="A380" s="11"/>
      <c r="B380" s="11"/>
      <c r="C380" s="11"/>
      <c r="D380" s="11"/>
      <c r="E380" s="13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0"/>
      <c r="X380" s="10"/>
    </row>
    <row r="381" spans="1:24" ht="22.5" customHeight="1">
      <c r="A381" s="11"/>
      <c r="B381" s="11"/>
      <c r="C381" s="11"/>
      <c r="D381" s="11"/>
      <c r="E381" s="13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0"/>
      <c r="X381" s="10"/>
    </row>
    <row r="382" spans="1:24" ht="22.5" customHeight="1">
      <c r="A382" s="11"/>
      <c r="B382" s="11"/>
      <c r="C382" s="11"/>
      <c r="D382" s="11"/>
      <c r="E382" s="13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0"/>
      <c r="X382" s="10"/>
    </row>
    <row r="383" spans="1:24" ht="22.5" customHeight="1">
      <c r="A383" s="11"/>
      <c r="B383" s="11"/>
      <c r="C383" s="11"/>
      <c r="D383" s="11"/>
      <c r="E383" s="13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0"/>
      <c r="X383" s="10"/>
    </row>
    <row r="384" spans="1:24" ht="22.5" customHeight="1">
      <c r="A384" s="11"/>
      <c r="B384" s="11"/>
      <c r="C384" s="11"/>
      <c r="D384" s="11"/>
      <c r="E384" s="13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0"/>
      <c r="X384" s="10"/>
    </row>
    <row r="385" spans="1:24" ht="22.5" customHeight="1">
      <c r="A385" s="11"/>
      <c r="B385" s="11"/>
      <c r="C385" s="11"/>
      <c r="D385" s="11"/>
      <c r="E385" s="13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0"/>
      <c r="X385" s="10"/>
    </row>
    <row r="386" spans="1:24" ht="22.5" customHeight="1">
      <c r="A386" s="11"/>
      <c r="B386" s="11"/>
      <c r="C386" s="11"/>
      <c r="D386" s="11"/>
      <c r="E386" s="13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0"/>
      <c r="X386" s="10"/>
    </row>
    <row r="387" spans="1:24" ht="22.5" customHeight="1">
      <c r="A387" s="11"/>
      <c r="B387" s="11"/>
      <c r="C387" s="11"/>
      <c r="D387" s="11"/>
      <c r="E387" s="13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/>
      <c r="X387" s="10"/>
    </row>
    <row r="388" spans="1:24" ht="22.5" customHeight="1">
      <c r="A388" s="11"/>
      <c r="B388" s="11"/>
      <c r="C388" s="11"/>
      <c r="D388" s="11"/>
      <c r="E388" s="13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/>
      <c r="X388" s="10"/>
    </row>
    <row r="389" spans="1:24" ht="22.5" customHeight="1">
      <c r="A389" s="11"/>
      <c r="B389" s="11"/>
      <c r="C389" s="11"/>
      <c r="D389" s="11"/>
      <c r="E389" s="13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0"/>
      <c r="X389" s="10"/>
    </row>
    <row r="390" spans="1:24" ht="22.5" customHeight="1">
      <c r="A390" s="11"/>
      <c r="B390" s="11"/>
      <c r="C390" s="11"/>
      <c r="D390" s="11"/>
      <c r="E390" s="13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 spans="1:24" ht="22.5" customHeight="1">
      <c r="A391" s="11"/>
      <c r="B391" s="11"/>
      <c r="C391" s="11"/>
      <c r="D391" s="11"/>
      <c r="E391" s="13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 spans="1:24" ht="22.5" customHeight="1">
      <c r="A392" s="11"/>
      <c r="B392" s="11"/>
      <c r="C392" s="11"/>
      <c r="D392" s="11"/>
      <c r="E392" s="13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7"/>
      <c r="X392" s="7"/>
    </row>
    <row r="393" spans="1:24" ht="22.5" customHeight="1">
      <c r="A393" s="11"/>
      <c r="B393" s="11"/>
      <c r="C393" s="11"/>
      <c r="D393" s="11"/>
      <c r="E393" s="13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2"/>
      <c r="X393" s="12"/>
    </row>
    <row r="394" spans="1:24" ht="22.5" customHeight="1">
      <c r="A394" s="11"/>
      <c r="B394" s="11"/>
      <c r="C394" s="11"/>
      <c r="D394" s="11"/>
      <c r="E394" s="13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0"/>
      <c r="X394" s="10"/>
    </row>
    <row r="395" spans="1:24" ht="22.5" customHeight="1">
      <c r="A395" s="11"/>
      <c r="B395" s="11"/>
      <c r="C395" s="11"/>
      <c r="D395" s="11"/>
      <c r="E395" s="13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0"/>
      <c r="X395" s="10"/>
    </row>
    <row r="396" spans="1:24" ht="22.5" customHeight="1">
      <c r="A396" s="11"/>
      <c r="B396" s="11"/>
      <c r="C396" s="11"/>
      <c r="D396" s="11"/>
      <c r="E396" s="13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0"/>
      <c r="X396" s="10"/>
    </row>
    <row r="397" spans="1:24" ht="22.5" customHeight="1">
      <c r="A397" s="11"/>
      <c r="B397" s="11"/>
      <c r="C397" s="11"/>
      <c r="D397" s="11"/>
      <c r="E397" s="13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0"/>
      <c r="X397" s="10"/>
    </row>
    <row r="398" spans="1:24" ht="22.5" customHeight="1">
      <c r="A398" s="11"/>
      <c r="B398" s="11"/>
      <c r="C398" s="11"/>
      <c r="D398" s="11"/>
      <c r="E398" s="13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0"/>
      <c r="X398" s="10"/>
    </row>
    <row r="399" spans="1:24" ht="22.5" customHeight="1">
      <c r="A399" s="11"/>
      <c r="B399" s="11"/>
      <c r="C399" s="11"/>
      <c r="D399" s="11"/>
      <c r="E399" s="13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0"/>
      <c r="X399" s="10"/>
    </row>
    <row r="400" spans="1:24" ht="22.5" customHeight="1">
      <c r="A400" s="11"/>
      <c r="B400" s="11"/>
      <c r="C400" s="11"/>
      <c r="D400" s="11"/>
      <c r="E400" s="13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0"/>
      <c r="X400" s="10"/>
    </row>
    <row r="401" spans="1:24" ht="22.5" customHeight="1">
      <c r="A401" s="11"/>
      <c r="B401" s="11"/>
      <c r="C401" s="11"/>
      <c r="D401" s="11"/>
      <c r="E401" s="13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0"/>
      <c r="X401" s="10"/>
    </row>
    <row r="402" spans="1:24" ht="22.5" customHeight="1">
      <c r="A402" s="11"/>
      <c r="B402" s="11"/>
      <c r="C402" s="11"/>
      <c r="D402" s="11"/>
      <c r="E402" s="13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0"/>
      <c r="X402" s="10"/>
    </row>
    <row r="403" spans="1:24" ht="22.5" customHeight="1">
      <c r="A403" s="11"/>
      <c r="B403" s="11"/>
      <c r="C403" s="11"/>
      <c r="D403" s="11"/>
      <c r="E403" s="13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0"/>
      <c r="X403" s="10"/>
    </row>
    <row r="404" spans="1:24" ht="22.5" customHeight="1">
      <c r="A404" s="11"/>
      <c r="B404" s="11"/>
      <c r="C404" s="11"/>
      <c r="D404" s="11"/>
      <c r="E404" s="13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0"/>
      <c r="X404" s="10"/>
    </row>
    <row r="405" spans="1:24" ht="22.5" customHeight="1">
      <c r="A405" s="11"/>
      <c r="B405" s="11"/>
      <c r="C405" s="11"/>
      <c r="D405" s="11"/>
      <c r="E405" s="13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0"/>
      <c r="X405" s="10"/>
    </row>
    <row r="406" spans="1:24" ht="22.5" customHeight="1">
      <c r="A406" s="11"/>
      <c r="B406" s="11"/>
      <c r="C406" s="11"/>
      <c r="D406" s="11"/>
      <c r="E406" s="13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0"/>
      <c r="X406" s="10"/>
    </row>
    <row r="407" spans="1:24" ht="22.5" customHeight="1">
      <c r="A407" s="11"/>
      <c r="B407" s="11"/>
      <c r="C407" s="11"/>
      <c r="D407" s="11"/>
      <c r="E407" s="13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 spans="1:24" ht="22.5" customHeight="1">
      <c r="A408" s="11"/>
      <c r="B408" s="11"/>
      <c r="C408" s="11"/>
      <c r="D408" s="11"/>
      <c r="E408" s="13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 spans="1:24" ht="22.5" customHeight="1">
      <c r="A409" s="11"/>
      <c r="B409" s="11"/>
      <c r="C409" s="11"/>
      <c r="D409" s="11"/>
      <c r="E409" s="13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7"/>
      <c r="X409" s="7"/>
    </row>
    <row r="410" spans="1:24" ht="22.5" customHeight="1">
      <c r="A410" s="11"/>
      <c r="B410" s="11"/>
      <c r="C410" s="11"/>
      <c r="D410" s="11"/>
      <c r="E410" s="13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2"/>
      <c r="X410" s="12"/>
    </row>
    <row r="411" spans="1:24" ht="22.5" customHeight="1">
      <c r="A411" s="11"/>
      <c r="B411" s="11"/>
      <c r="C411" s="11"/>
      <c r="D411" s="11"/>
      <c r="E411" s="13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0"/>
      <c r="X411" s="10"/>
    </row>
    <row r="412" spans="1:24" ht="22.5" customHeight="1">
      <c r="A412" s="11"/>
      <c r="B412" s="11"/>
      <c r="C412" s="11"/>
      <c r="D412" s="11"/>
      <c r="E412" s="13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0"/>
      <c r="X412" s="10"/>
    </row>
    <row r="413" spans="1:24" ht="22.5" customHeight="1">
      <c r="A413" s="11"/>
      <c r="B413" s="11"/>
      <c r="C413" s="11"/>
      <c r="D413" s="11"/>
      <c r="E413" s="13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0"/>
      <c r="X413" s="10"/>
    </row>
    <row r="414" spans="1:24" ht="22.5" customHeight="1">
      <c r="A414" s="11"/>
      <c r="B414" s="11"/>
      <c r="C414" s="11"/>
      <c r="D414" s="11"/>
      <c r="E414" s="13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0"/>
      <c r="X414" s="10"/>
    </row>
    <row r="415" spans="1:24" ht="22.5" customHeight="1">
      <c r="A415" s="11"/>
      <c r="B415" s="11"/>
      <c r="C415" s="11"/>
      <c r="D415" s="11"/>
      <c r="E415" s="13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0"/>
      <c r="X415" s="10"/>
    </row>
    <row r="416" spans="1:24" ht="22.5" customHeight="1">
      <c r="A416" s="11"/>
      <c r="B416" s="11"/>
      <c r="C416" s="11"/>
      <c r="D416" s="11"/>
      <c r="E416" s="13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0"/>
      <c r="X416" s="10"/>
    </row>
    <row r="417" spans="1:24" ht="22.5" customHeight="1">
      <c r="A417" s="11"/>
      <c r="B417" s="11"/>
      <c r="C417" s="11"/>
      <c r="D417" s="11"/>
      <c r="E417" s="13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0"/>
      <c r="X417" s="10"/>
    </row>
    <row r="418" spans="1:24" ht="22.5" customHeight="1">
      <c r="A418" s="11"/>
      <c r="B418" s="11"/>
      <c r="C418" s="11"/>
      <c r="D418" s="11"/>
      <c r="E418" s="13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0"/>
      <c r="X418" s="10"/>
    </row>
    <row r="419" spans="1:24" ht="22.5" customHeight="1">
      <c r="A419" s="11"/>
      <c r="B419" s="11"/>
      <c r="C419" s="11"/>
      <c r="D419" s="11"/>
      <c r="E419" s="13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0"/>
      <c r="X419" s="10"/>
    </row>
    <row r="420" spans="1:24" ht="22.5" customHeight="1">
      <c r="A420" s="11"/>
      <c r="B420" s="11"/>
      <c r="C420" s="11"/>
      <c r="D420" s="11"/>
      <c r="E420" s="13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0"/>
      <c r="X420" s="10"/>
    </row>
    <row r="421" spans="1:24" ht="22.5" customHeight="1">
      <c r="A421" s="11"/>
      <c r="B421" s="11"/>
      <c r="C421" s="11"/>
      <c r="D421" s="11"/>
      <c r="E421" s="13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0"/>
      <c r="X421" s="10"/>
    </row>
    <row r="422" spans="1:24" ht="22.5" customHeight="1">
      <c r="A422" s="11"/>
      <c r="B422" s="11"/>
      <c r="C422" s="11"/>
      <c r="D422" s="11"/>
      <c r="E422" s="13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0"/>
      <c r="X422" s="10"/>
    </row>
    <row r="423" spans="1:24" ht="22.5" customHeight="1">
      <c r="A423" s="11"/>
      <c r="B423" s="11"/>
      <c r="C423" s="11"/>
      <c r="D423" s="11"/>
      <c r="E423" s="13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0"/>
      <c r="X423" s="10"/>
    </row>
    <row r="424" spans="1:24" ht="22.5" customHeight="1">
      <c r="A424" s="11"/>
      <c r="B424" s="11"/>
      <c r="C424" s="11"/>
      <c r="D424" s="11"/>
      <c r="E424" s="13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 spans="1:24" ht="22.5" customHeight="1">
      <c r="A425" s="11"/>
      <c r="B425" s="11"/>
      <c r="C425" s="11"/>
      <c r="D425" s="11"/>
      <c r="E425" s="13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 spans="1:24" ht="22.5" customHeight="1">
      <c r="A426" s="11"/>
      <c r="B426" s="11"/>
      <c r="C426" s="11"/>
      <c r="D426" s="11"/>
      <c r="E426" s="13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7"/>
      <c r="X426" s="7"/>
    </row>
    <row r="427" spans="1:24" ht="22.5" customHeight="1">
      <c r="A427" s="11"/>
      <c r="B427" s="11"/>
      <c r="C427" s="11"/>
      <c r="D427" s="11"/>
      <c r="E427" s="13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2"/>
      <c r="X427" s="12"/>
    </row>
    <row r="428" spans="1:24" ht="22.5" customHeight="1">
      <c r="A428" s="11"/>
      <c r="B428" s="11"/>
      <c r="C428" s="11"/>
      <c r="D428" s="11"/>
      <c r="E428" s="13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0"/>
      <c r="X428" s="10"/>
    </row>
    <row r="429" spans="1:24" ht="22.5" customHeight="1">
      <c r="A429" s="11"/>
      <c r="B429" s="11"/>
      <c r="C429" s="11"/>
      <c r="D429" s="11"/>
      <c r="E429" s="13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0"/>
      <c r="X429" s="10"/>
    </row>
    <row r="430" spans="1:24" ht="22.5" customHeight="1">
      <c r="A430" s="11"/>
      <c r="B430" s="11"/>
      <c r="C430" s="11"/>
      <c r="D430" s="11"/>
      <c r="E430" s="13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0"/>
      <c r="X430" s="10"/>
    </row>
    <row r="431" spans="1:24" ht="22.5" customHeight="1">
      <c r="A431" s="11"/>
      <c r="B431" s="11"/>
      <c r="C431" s="11"/>
      <c r="D431" s="11"/>
      <c r="E431" s="13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0"/>
      <c r="X431" s="10"/>
    </row>
    <row r="432" spans="1:24" ht="22.5" customHeight="1">
      <c r="A432" s="11"/>
      <c r="B432" s="11"/>
      <c r="C432" s="11"/>
      <c r="D432" s="11"/>
      <c r="E432" s="13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0"/>
      <c r="X432" s="10"/>
    </row>
    <row r="433" spans="1:24" ht="22.5" customHeight="1">
      <c r="A433" s="11"/>
      <c r="B433" s="11"/>
      <c r="C433" s="11"/>
      <c r="D433" s="11"/>
      <c r="E433" s="13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0"/>
      <c r="X433" s="10"/>
    </row>
    <row r="434" spans="1:24" ht="22.5" customHeight="1">
      <c r="A434" s="11"/>
      <c r="B434" s="11"/>
      <c r="C434" s="11"/>
      <c r="D434" s="11"/>
      <c r="E434" s="13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0"/>
      <c r="X434" s="10"/>
    </row>
    <row r="435" spans="1:24" ht="22.5" customHeight="1">
      <c r="A435" s="11"/>
      <c r="B435" s="11"/>
      <c r="C435" s="11"/>
      <c r="D435" s="11"/>
      <c r="E435" s="13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0"/>
      <c r="X435" s="10"/>
    </row>
    <row r="436" spans="1:24" ht="22.5" customHeight="1">
      <c r="A436" s="11"/>
      <c r="B436" s="11"/>
      <c r="C436" s="11"/>
      <c r="D436" s="11"/>
      <c r="E436" s="13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0"/>
      <c r="X436" s="10"/>
    </row>
    <row r="437" spans="1:24" ht="22.5" customHeight="1">
      <c r="A437" s="11"/>
      <c r="B437" s="11"/>
      <c r="C437" s="11"/>
      <c r="D437" s="11"/>
      <c r="E437" s="13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0"/>
      <c r="X437" s="10"/>
    </row>
    <row r="438" spans="1:24" ht="22.5" customHeight="1">
      <c r="A438" s="11"/>
      <c r="B438" s="11"/>
      <c r="C438" s="11"/>
      <c r="D438" s="11"/>
      <c r="E438" s="13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0"/>
      <c r="X438" s="10"/>
    </row>
    <row r="439" spans="1:24" ht="22.5" customHeight="1">
      <c r="A439" s="11"/>
      <c r="B439" s="11"/>
      <c r="C439" s="11"/>
      <c r="D439" s="11"/>
      <c r="E439" s="13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0"/>
      <c r="X439" s="10"/>
    </row>
    <row r="440" spans="1:24" ht="22.5" customHeight="1">
      <c r="A440" s="11"/>
      <c r="B440" s="11"/>
      <c r="C440" s="11"/>
      <c r="D440" s="11"/>
      <c r="E440" s="13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0"/>
      <c r="X440" s="10"/>
    </row>
    <row r="441" spans="1:24" ht="22.5" customHeight="1">
      <c r="A441" s="11"/>
      <c r="B441" s="11"/>
      <c r="C441" s="11"/>
      <c r="D441" s="11"/>
      <c r="E441" s="13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 spans="1:24" ht="22.5" customHeight="1">
      <c r="A442" s="11"/>
      <c r="B442" s="11"/>
      <c r="C442" s="11"/>
      <c r="D442" s="11"/>
      <c r="E442" s="13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 spans="1:24" ht="22.5" customHeight="1">
      <c r="A443" s="11"/>
      <c r="B443" s="11"/>
      <c r="C443" s="11"/>
      <c r="D443" s="11"/>
      <c r="E443" s="13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7"/>
      <c r="X443" s="7"/>
    </row>
    <row r="444" spans="1:24" ht="22.5" customHeight="1">
      <c r="A444" s="11"/>
      <c r="B444" s="11"/>
      <c r="C444" s="11"/>
      <c r="D444" s="11"/>
      <c r="E444" s="13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2"/>
      <c r="X444" s="12"/>
    </row>
    <row r="445" spans="1:24" ht="22.5" customHeight="1">
      <c r="A445" s="11"/>
      <c r="B445" s="11"/>
      <c r="C445" s="11"/>
      <c r="D445" s="11"/>
      <c r="E445" s="13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0"/>
      <c r="X445" s="10"/>
    </row>
    <row r="446" spans="1:24" ht="22.5" customHeight="1">
      <c r="A446" s="11"/>
      <c r="B446" s="11"/>
      <c r="C446" s="11"/>
      <c r="D446" s="11"/>
      <c r="E446" s="13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0"/>
      <c r="X446" s="10"/>
    </row>
    <row r="447" spans="1:24" ht="22.5" customHeight="1">
      <c r="A447" s="11"/>
      <c r="B447" s="11"/>
      <c r="C447" s="11"/>
      <c r="D447" s="11"/>
      <c r="E447" s="13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0"/>
      <c r="X447" s="10"/>
    </row>
    <row r="448" spans="1:24" ht="22.5" customHeight="1">
      <c r="A448" s="11"/>
      <c r="B448" s="11"/>
      <c r="C448" s="11"/>
      <c r="D448" s="11"/>
      <c r="E448" s="13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0"/>
      <c r="X448" s="10"/>
    </row>
    <row r="449" spans="1:24" ht="22.5" customHeight="1">
      <c r="A449" s="11"/>
      <c r="B449" s="11"/>
      <c r="C449" s="11"/>
      <c r="D449" s="11"/>
      <c r="E449" s="13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0"/>
      <c r="X449" s="10"/>
    </row>
    <row r="450" spans="1:24" ht="22.5" customHeight="1">
      <c r="A450" s="11"/>
      <c r="B450" s="11"/>
      <c r="C450" s="11"/>
      <c r="D450" s="11"/>
      <c r="E450" s="13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0"/>
      <c r="X450" s="10"/>
    </row>
    <row r="451" spans="1:24" ht="22.5" customHeight="1">
      <c r="A451" s="11"/>
      <c r="B451" s="11"/>
      <c r="C451" s="11"/>
      <c r="D451" s="11"/>
      <c r="E451" s="13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0"/>
      <c r="X451" s="10"/>
    </row>
    <row r="452" spans="1:24" ht="22.5" customHeight="1">
      <c r="A452" s="11"/>
      <c r="B452" s="11"/>
      <c r="C452" s="11"/>
      <c r="D452" s="11"/>
      <c r="E452" s="13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0"/>
      <c r="X452" s="10"/>
    </row>
    <row r="453" spans="1:24" ht="22.5" customHeight="1">
      <c r="A453" s="11"/>
      <c r="B453" s="11"/>
      <c r="C453" s="11"/>
      <c r="D453" s="11"/>
      <c r="E453" s="13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0"/>
      <c r="X453" s="10"/>
    </row>
    <row r="454" spans="1:24" ht="22.5" customHeight="1">
      <c r="A454" s="11"/>
      <c r="B454" s="11"/>
      <c r="C454" s="11"/>
      <c r="D454" s="11"/>
      <c r="E454" s="13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0"/>
      <c r="X454" s="10"/>
    </row>
    <row r="455" spans="1:24" ht="22.5" customHeight="1">
      <c r="A455" s="11"/>
      <c r="B455" s="11"/>
      <c r="C455" s="11"/>
      <c r="D455" s="11"/>
      <c r="E455" s="13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0"/>
      <c r="X455" s="10"/>
    </row>
    <row r="456" spans="1:24" ht="22.5" customHeight="1">
      <c r="A456" s="11"/>
      <c r="B456" s="11"/>
      <c r="C456" s="11"/>
      <c r="D456" s="11"/>
      <c r="E456" s="13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0"/>
      <c r="X456" s="10"/>
    </row>
    <row r="457" spans="1:24" ht="22.5" customHeight="1">
      <c r="A457" s="11"/>
      <c r="B457" s="11"/>
      <c r="C457" s="11"/>
      <c r="D457" s="11"/>
      <c r="E457" s="13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0"/>
      <c r="X457" s="10"/>
    </row>
    <row r="458" spans="1:24" ht="22.5" customHeight="1">
      <c r="A458" s="11"/>
      <c r="B458" s="11"/>
      <c r="C458" s="11"/>
      <c r="D458" s="11"/>
      <c r="E458" s="13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 spans="1:24" ht="22.5" customHeight="1">
      <c r="A459" s="11"/>
      <c r="B459" s="11"/>
      <c r="C459" s="11"/>
      <c r="D459" s="11"/>
      <c r="E459" s="13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 spans="1:24" ht="22.5" customHeight="1">
      <c r="A460" s="11"/>
      <c r="B460" s="11"/>
      <c r="C460" s="11"/>
      <c r="D460" s="11"/>
      <c r="E460" s="13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7"/>
      <c r="X460" s="7"/>
    </row>
    <row r="461" spans="1:24" ht="22.5" customHeight="1">
      <c r="A461" s="11"/>
      <c r="B461" s="11"/>
      <c r="C461" s="11"/>
      <c r="D461" s="11"/>
      <c r="E461" s="13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2"/>
      <c r="X461" s="12"/>
    </row>
    <row r="462" spans="1:24" ht="22.5" customHeight="1">
      <c r="A462" s="11"/>
      <c r="B462" s="11"/>
      <c r="C462" s="11"/>
      <c r="D462" s="11"/>
      <c r="E462" s="13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0"/>
      <c r="X462" s="10"/>
    </row>
    <row r="463" spans="1:24" ht="22.5" customHeight="1">
      <c r="A463" s="11"/>
      <c r="B463" s="11"/>
      <c r="C463" s="11"/>
      <c r="D463" s="11"/>
      <c r="E463" s="13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0"/>
      <c r="X463" s="10"/>
    </row>
    <row r="464" spans="1:24" ht="22.5" customHeight="1">
      <c r="A464" s="11"/>
      <c r="B464" s="11"/>
      <c r="C464" s="11"/>
      <c r="D464" s="11"/>
      <c r="E464" s="13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0"/>
      <c r="X464" s="10"/>
    </row>
    <row r="465" spans="1:24" ht="22.5" customHeight="1">
      <c r="A465" s="11"/>
      <c r="B465" s="11"/>
      <c r="C465" s="11"/>
      <c r="D465" s="11"/>
      <c r="E465" s="13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0"/>
      <c r="X465" s="10"/>
    </row>
    <row r="466" spans="1:24" ht="22.5" customHeight="1">
      <c r="A466" s="11"/>
      <c r="B466" s="11"/>
      <c r="C466" s="11"/>
      <c r="D466" s="11"/>
      <c r="E466" s="13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0"/>
      <c r="X466" s="10"/>
    </row>
    <row r="467" spans="1:24" ht="22.5" customHeight="1">
      <c r="A467" s="11"/>
      <c r="B467" s="11"/>
      <c r="C467" s="11"/>
      <c r="D467" s="11"/>
      <c r="E467" s="13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0"/>
      <c r="X467" s="10"/>
    </row>
    <row r="468" spans="1:24" ht="22.5" customHeight="1">
      <c r="A468" s="11"/>
      <c r="B468" s="11"/>
      <c r="C468" s="11"/>
      <c r="D468" s="11"/>
      <c r="E468" s="13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0"/>
      <c r="X468" s="10"/>
    </row>
    <row r="469" spans="1:24" ht="22.5" customHeight="1">
      <c r="A469" s="11"/>
      <c r="B469" s="11"/>
      <c r="C469" s="11"/>
      <c r="D469" s="11"/>
      <c r="E469" s="13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0"/>
      <c r="X469" s="10"/>
    </row>
    <row r="470" spans="1:24" ht="22.5" customHeight="1">
      <c r="A470" s="11"/>
      <c r="B470" s="11"/>
      <c r="C470" s="11"/>
      <c r="D470" s="11"/>
      <c r="E470" s="13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0"/>
      <c r="X470" s="10"/>
    </row>
    <row r="471" spans="1:24" ht="22.5" customHeight="1">
      <c r="A471" s="11"/>
      <c r="B471" s="11"/>
      <c r="C471" s="11"/>
      <c r="D471" s="11"/>
      <c r="E471" s="13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0"/>
      <c r="X471" s="10"/>
    </row>
    <row r="472" spans="1:24" ht="22.5" customHeight="1">
      <c r="A472" s="11"/>
      <c r="B472" s="11"/>
      <c r="C472" s="11"/>
      <c r="D472" s="11"/>
      <c r="E472" s="13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0"/>
      <c r="X472" s="10"/>
    </row>
    <row r="473" spans="1:24" ht="22.5" customHeight="1">
      <c r="A473" s="11"/>
      <c r="B473" s="11"/>
      <c r="C473" s="11"/>
      <c r="D473" s="11"/>
      <c r="E473" s="13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0"/>
      <c r="X473" s="10"/>
    </row>
    <row r="474" spans="1:24" ht="22.5" customHeight="1">
      <c r="A474" s="11"/>
      <c r="B474" s="11"/>
      <c r="C474" s="11"/>
      <c r="D474" s="11"/>
      <c r="E474" s="13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0"/>
      <c r="X474" s="10"/>
    </row>
    <row r="475" spans="1:24" ht="22.5" customHeight="1">
      <c r="A475" s="11"/>
      <c r="B475" s="11"/>
      <c r="C475" s="11"/>
      <c r="D475" s="11"/>
      <c r="E475" s="13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 spans="1:24" ht="22.5" customHeight="1">
      <c r="A476" s="11"/>
      <c r="B476" s="11"/>
      <c r="C476" s="11"/>
      <c r="D476" s="11"/>
      <c r="E476" s="13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 spans="1:24" ht="22.5" customHeight="1">
      <c r="A477" s="11"/>
      <c r="B477" s="11"/>
      <c r="C477" s="11"/>
      <c r="D477" s="11"/>
      <c r="E477" s="13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7"/>
      <c r="X477" s="7"/>
    </row>
    <row r="478" spans="1:24" ht="22.5" customHeight="1">
      <c r="A478" s="11"/>
      <c r="B478" s="11"/>
      <c r="C478" s="11"/>
      <c r="D478" s="11"/>
      <c r="E478" s="13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2"/>
      <c r="X478" s="12"/>
    </row>
    <row r="479" spans="1:24" ht="22.5" customHeight="1">
      <c r="A479" s="11"/>
      <c r="B479" s="11"/>
      <c r="C479" s="11"/>
      <c r="D479" s="11"/>
      <c r="E479" s="13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0"/>
      <c r="X479" s="10"/>
    </row>
    <row r="480" spans="1:24" ht="22.5" customHeight="1">
      <c r="A480" s="11"/>
      <c r="B480" s="11"/>
      <c r="C480" s="11"/>
      <c r="D480" s="11"/>
      <c r="E480" s="13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0"/>
      <c r="X480" s="10"/>
    </row>
    <row r="481" spans="1:24" ht="22.5" customHeight="1">
      <c r="A481" s="11"/>
      <c r="B481" s="11"/>
      <c r="C481" s="11"/>
      <c r="D481" s="11"/>
      <c r="E481" s="13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0"/>
      <c r="X481" s="10"/>
    </row>
    <row r="482" spans="1:24" ht="22.5" customHeight="1">
      <c r="A482" s="11"/>
      <c r="B482" s="11"/>
      <c r="C482" s="11"/>
      <c r="D482" s="11"/>
      <c r="E482" s="13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0"/>
      <c r="X482" s="10"/>
    </row>
    <row r="483" spans="1:24" ht="22.5" customHeight="1">
      <c r="A483" s="11"/>
      <c r="B483" s="11"/>
      <c r="C483" s="11"/>
      <c r="D483" s="11"/>
      <c r="E483" s="13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0"/>
      <c r="X483" s="10"/>
    </row>
    <row r="484" spans="1:24" ht="22.5" customHeight="1">
      <c r="A484" s="11"/>
      <c r="B484" s="11"/>
      <c r="C484" s="11"/>
      <c r="D484" s="11"/>
      <c r="E484" s="13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0"/>
      <c r="X484" s="10"/>
    </row>
    <row r="485" spans="1:24" ht="22.5" customHeight="1">
      <c r="A485" s="11"/>
      <c r="B485" s="11"/>
      <c r="C485" s="11"/>
      <c r="D485" s="11"/>
      <c r="E485" s="13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0"/>
      <c r="X485" s="10"/>
    </row>
    <row r="486" spans="1:24" ht="22.5" customHeight="1">
      <c r="A486" s="11"/>
      <c r="B486" s="11"/>
      <c r="C486" s="11"/>
      <c r="D486" s="11"/>
      <c r="E486" s="13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0"/>
      <c r="X486" s="10"/>
    </row>
    <row r="487" spans="1:24" ht="22.5" customHeight="1">
      <c r="A487" s="11"/>
      <c r="B487" s="11"/>
      <c r="C487" s="11"/>
      <c r="D487" s="11"/>
      <c r="E487" s="13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0"/>
      <c r="X487" s="10"/>
    </row>
    <row r="488" spans="1:24" ht="22.5" customHeight="1">
      <c r="A488" s="11"/>
      <c r="B488" s="11"/>
      <c r="C488" s="11"/>
      <c r="D488" s="11"/>
      <c r="E488" s="13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0"/>
      <c r="X488" s="10"/>
    </row>
    <row r="489" spans="1:24" ht="22.5" customHeight="1">
      <c r="A489" s="11"/>
      <c r="B489" s="11"/>
      <c r="C489" s="11"/>
      <c r="D489" s="11"/>
      <c r="E489" s="13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0"/>
      <c r="X489" s="10"/>
    </row>
    <row r="490" spans="1:24" ht="22.5" customHeight="1">
      <c r="A490" s="11"/>
      <c r="B490" s="11"/>
      <c r="C490" s="11"/>
      <c r="D490" s="11"/>
      <c r="E490" s="13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0"/>
      <c r="X490" s="10"/>
    </row>
    <row r="491" spans="1:24" ht="22.5" customHeight="1">
      <c r="A491" s="11"/>
      <c r="B491" s="11"/>
      <c r="C491" s="11"/>
      <c r="D491" s="11"/>
      <c r="E491" s="13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0"/>
      <c r="X491" s="10"/>
    </row>
    <row r="492" spans="1:24" ht="22.5" customHeight="1">
      <c r="A492" s="11"/>
      <c r="B492" s="11"/>
      <c r="C492" s="11"/>
      <c r="D492" s="11"/>
      <c r="E492" s="13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 spans="1:24" ht="22.5" customHeight="1">
      <c r="A493" s="11"/>
      <c r="B493" s="11"/>
      <c r="C493" s="11"/>
      <c r="D493" s="11"/>
      <c r="E493" s="13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 spans="1:24" ht="22.5" customHeight="1">
      <c r="A494" s="11"/>
      <c r="B494" s="11"/>
      <c r="C494" s="11"/>
      <c r="D494" s="11"/>
      <c r="E494" s="13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7"/>
      <c r="X494" s="7"/>
    </row>
    <row r="495" spans="1:24" ht="22.5" customHeight="1">
      <c r="A495" s="11"/>
      <c r="B495" s="11"/>
      <c r="C495" s="11"/>
      <c r="D495" s="11"/>
      <c r="E495" s="13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2"/>
      <c r="X495" s="12"/>
    </row>
    <row r="496" spans="1:24" ht="22.5" customHeight="1">
      <c r="A496" s="11"/>
      <c r="B496" s="11"/>
      <c r="C496" s="11"/>
      <c r="D496" s="11"/>
      <c r="E496" s="13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0"/>
      <c r="X496" s="10"/>
    </row>
    <row r="497" spans="1:24" ht="22.5" customHeight="1">
      <c r="A497" s="11"/>
      <c r="B497" s="11"/>
      <c r="C497" s="11"/>
      <c r="D497" s="11"/>
      <c r="E497" s="13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0"/>
      <c r="X497" s="10"/>
    </row>
    <row r="498" spans="1:24" ht="22.5" customHeight="1">
      <c r="A498" s="11"/>
      <c r="B498" s="11"/>
      <c r="C498" s="11"/>
      <c r="D498" s="11"/>
      <c r="E498" s="13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0"/>
      <c r="X498" s="10"/>
    </row>
    <row r="499" spans="1:24" ht="22.5" customHeight="1">
      <c r="A499" s="11"/>
      <c r="B499" s="11"/>
      <c r="C499" s="11"/>
      <c r="D499" s="11"/>
      <c r="E499" s="1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0"/>
      <c r="X499" s="10"/>
    </row>
    <row r="500" spans="1:24" ht="22.5" customHeight="1">
      <c r="A500" s="11"/>
      <c r="B500" s="11"/>
      <c r="C500" s="11"/>
      <c r="D500" s="11"/>
      <c r="E500" s="1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0"/>
      <c r="X500" s="10"/>
    </row>
    <row r="501" spans="1:24" ht="22.5" customHeight="1">
      <c r="A501" s="11"/>
      <c r="B501" s="11"/>
      <c r="C501" s="11"/>
      <c r="D501" s="11"/>
      <c r="E501" s="1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0"/>
      <c r="X501" s="10"/>
    </row>
    <row r="502" spans="1:24" ht="22.5" customHeight="1">
      <c r="A502" s="11"/>
      <c r="B502" s="11"/>
      <c r="C502" s="11"/>
      <c r="D502" s="11"/>
      <c r="E502" s="1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0"/>
      <c r="X502" s="10"/>
    </row>
    <row r="503" spans="1:24" ht="22.5" customHeight="1">
      <c r="A503" s="11"/>
      <c r="B503" s="11"/>
      <c r="C503" s="11"/>
      <c r="D503" s="11"/>
      <c r="E503" s="1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0"/>
      <c r="X503" s="10"/>
    </row>
    <row r="504" spans="1:24" ht="22.5" customHeight="1">
      <c r="A504" s="11"/>
      <c r="B504" s="11"/>
      <c r="C504" s="11"/>
      <c r="D504" s="11"/>
      <c r="E504" s="1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0"/>
      <c r="X504" s="10"/>
    </row>
    <row r="505" spans="1:24" ht="22.5" customHeight="1">
      <c r="A505" s="11"/>
      <c r="B505" s="11"/>
      <c r="C505" s="11"/>
      <c r="D505" s="11"/>
      <c r="E505" s="1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0"/>
      <c r="X505" s="10"/>
    </row>
    <row r="506" spans="1:24" ht="22.5" customHeight="1">
      <c r="A506" s="11"/>
      <c r="B506" s="11"/>
      <c r="C506" s="11"/>
      <c r="D506" s="11"/>
      <c r="E506" s="1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0"/>
      <c r="X506" s="10"/>
    </row>
    <row r="507" spans="1:24" ht="22.5" customHeight="1">
      <c r="A507" s="11"/>
      <c r="B507" s="11"/>
      <c r="C507" s="11"/>
      <c r="D507" s="11"/>
      <c r="E507" s="1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0"/>
      <c r="X507" s="10"/>
    </row>
    <row r="508" spans="1:24" ht="22.5" customHeight="1">
      <c r="A508" s="11"/>
      <c r="B508" s="11"/>
      <c r="C508" s="11"/>
      <c r="D508" s="11"/>
      <c r="E508" s="1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0"/>
      <c r="X508" s="10"/>
    </row>
    <row r="509" spans="1:24" ht="22.5" customHeight="1">
      <c r="A509" s="11"/>
      <c r="B509" s="11"/>
      <c r="C509" s="11"/>
      <c r="D509" s="11"/>
      <c r="E509" s="1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 spans="1:24" ht="22.5" customHeight="1">
      <c r="A510" s="11"/>
      <c r="B510" s="11"/>
      <c r="C510" s="11"/>
      <c r="D510" s="11"/>
      <c r="E510" s="1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 spans="1:24" ht="22.5" customHeight="1">
      <c r="A511" s="11"/>
      <c r="B511" s="11"/>
      <c r="C511" s="11"/>
      <c r="D511" s="11"/>
      <c r="E511" s="1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7"/>
      <c r="X511" s="7"/>
    </row>
    <row r="512" spans="1:24" ht="22.5" customHeight="1">
      <c r="A512" s="11"/>
      <c r="B512" s="11"/>
      <c r="C512" s="11"/>
      <c r="D512" s="11"/>
      <c r="E512" s="1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2"/>
      <c r="X512" s="12"/>
    </row>
    <row r="513" spans="1:24" ht="22.5" customHeight="1">
      <c r="A513" s="11"/>
      <c r="B513" s="11"/>
      <c r="C513" s="11"/>
      <c r="D513" s="11"/>
      <c r="E513" s="1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0"/>
      <c r="X513" s="10"/>
    </row>
    <row r="514" spans="1:24" ht="22.5" customHeight="1">
      <c r="A514" s="11"/>
      <c r="B514" s="11"/>
      <c r="C514" s="11"/>
      <c r="D514" s="11"/>
      <c r="E514" s="13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0"/>
      <c r="X514" s="10"/>
    </row>
    <row r="515" spans="1:24" ht="22.5" customHeight="1">
      <c r="A515" s="11"/>
      <c r="B515" s="11"/>
      <c r="C515" s="11"/>
      <c r="D515" s="11"/>
      <c r="E515" s="13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0"/>
      <c r="X515" s="10"/>
    </row>
    <row r="516" spans="1:24" ht="22.5" customHeight="1">
      <c r="A516" s="11"/>
      <c r="B516" s="11"/>
      <c r="C516" s="11"/>
      <c r="D516" s="11"/>
      <c r="E516" s="1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0"/>
      <c r="X516" s="10"/>
    </row>
    <row r="517" spans="1:24" ht="22.5" customHeight="1">
      <c r="A517" s="11"/>
      <c r="B517" s="11"/>
      <c r="C517" s="11"/>
      <c r="D517" s="11"/>
      <c r="E517" s="1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0"/>
      <c r="X517" s="10"/>
    </row>
    <row r="518" spans="1:24" ht="22.5" customHeight="1">
      <c r="A518" s="11"/>
      <c r="B518" s="11"/>
      <c r="C518" s="11"/>
      <c r="D518" s="11"/>
      <c r="E518" s="1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0"/>
      <c r="X518" s="10"/>
    </row>
    <row r="519" spans="1:24" ht="22.5" customHeight="1">
      <c r="A519" s="11"/>
      <c r="B519" s="11"/>
      <c r="C519" s="11"/>
      <c r="D519" s="11"/>
      <c r="E519" s="1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0"/>
      <c r="X519" s="10"/>
    </row>
    <row r="520" spans="1:24" ht="22.5" customHeight="1">
      <c r="A520" s="11"/>
      <c r="B520" s="11"/>
      <c r="C520" s="11"/>
      <c r="D520" s="11"/>
      <c r="E520" s="13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0"/>
      <c r="X520" s="10"/>
    </row>
    <row r="521" spans="1:24" ht="22.5" customHeight="1">
      <c r="A521" s="11"/>
      <c r="B521" s="11"/>
      <c r="C521" s="11"/>
      <c r="D521" s="11"/>
      <c r="E521" s="13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0"/>
      <c r="X521" s="10"/>
    </row>
    <row r="522" spans="1:24" ht="22.5" customHeight="1">
      <c r="A522" s="11"/>
      <c r="B522" s="11"/>
      <c r="C522" s="11"/>
      <c r="D522" s="11"/>
      <c r="E522" s="13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0"/>
      <c r="X522" s="10"/>
    </row>
    <row r="523" spans="1:24" ht="22.5" customHeight="1">
      <c r="A523" s="11"/>
      <c r="B523" s="11"/>
      <c r="C523" s="11"/>
      <c r="D523" s="11"/>
      <c r="E523" s="13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0"/>
      <c r="X523" s="10"/>
    </row>
    <row r="524" spans="1:24" ht="22.5" customHeight="1">
      <c r="A524" s="11"/>
      <c r="B524" s="11"/>
      <c r="C524" s="11"/>
      <c r="D524" s="11"/>
      <c r="E524" s="13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0"/>
      <c r="X524" s="10"/>
    </row>
    <row r="525" spans="1:24" ht="22.5" customHeight="1">
      <c r="A525" s="11"/>
      <c r="B525" s="11"/>
      <c r="C525" s="11"/>
      <c r="D525" s="11"/>
      <c r="E525" s="13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0"/>
      <c r="X525" s="10"/>
    </row>
    <row r="526" spans="1:24" ht="22.5" customHeight="1">
      <c r="A526" s="11"/>
      <c r="B526" s="11"/>
      <c r="C526" s="11"/>
      <c r="D526" s="11"/>
      <c r="E526" s="13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 spans="1:24" ht="22.5" customHeight="1">
      <c r="A527" s="11"/>
      <c r="B527" s="11"/>
      <c r="C527" s="11"/>
      <c r="D527" s="11"/>
      <c r="E527" s="13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 spans="1:24" ht="22.5" customHeight="1">
      <c r="A528" s="11"/>
      <c r="B528" s="11"/>
      <c r="C528" s="11"/>
      <c r="D528" s="11"/>
      <c r="E528" s="13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7"/>
      <c r="X528" s="7"/>
    </row>
    <row r="529" spans="1:24" ht="22.5" customHeight="1">
      <c r="A529" s="11"/>
      <c r="B529" s="11"/>
      <c r="C529" s="11"/>
      <c r="D529" s="11"/>
      <c r="E529" s="13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2"/>
      <c r="X529" s="12"/>
    </row>
    <row r="530" spans="1:24" ht="22.5" customHeight="1">
      <c r="A530" s="11"/>
      <c r="B530" s="11"/>
      <c r="C530" s="11"/>
      <c r="D530" s="11"/>
      <c r="E530" s="13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0"/>
      <c r="X530" s="10"/>
    </row>
    <row r="531" spans="1:24" ht="22.5" customHeight="1">
      <c r="A531" s="11"/>
      <c r="B531" s="11"/>
      <c r="C531" s="11"/>
      <c r="D531" s="11"/>
      <c r="E531" s="13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0"/>
      <c r="X531" s="10"/>
    </row>
    <row r="532" spans="1:24" ht="22.5" customHeight="1">
      <c r="A532" s="11"/>
      <c r="B532" s="11"/>
      <c r="C532" s="11"/>
      <c r="D532" s="11"/>
      <c r="E532" s="13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0"/>
      <c r="X532" s="10"/>
    </row>
    <row r="533" spans="1:24" ht="22.5" customHeight="1">
      <c r="A533" s="11"/>
      <c r="B533" s="11"/>
      <c r="C533" s="11"/>
      <c r="D533" s="11"/>
      <c r="E533" s="13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0"/>
      <c r="X533" s="10"/>
    </row>
    <row r="534" spans="1:24" ht="22.5" customHeight="1">
      <c r="A534" s="11"/>
      <c r="B534" s="11"/>
      <c r="C534" s="11"/>
      <c r="D534" s="11"/>
      <c r="E534" s="13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0"/>
      <c r="X534" s="10"/>
    </row>
    <row r="535" spans="1:24" ht="22.5" customHeight="1">
      <c r="A535" s="11"/>
      <c r="B535" s="11"/>
      <c r="C535" s="11"/>
      <c r="D535" s="11"/>
      <c r="E535" s="13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0"/>
      <c r="X535" s="10"/>
    </row>
    <row r="536" spans="1:24" ht="22.5" customHeight="1">
      <c r="A536" s="11"/>
      <c r="B536" s="11"/>
      <c r="C536" s="11"/>
      <c r="D536" s="11"/>
      <c r="E536" s="13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0"/>
      <c r="X536" s="10"/>
    </row>
    <row r="537" spans="1:24" ht="22.5" customHeight="1">
      <c r="A537" s="11"/>
      <c r="B537" s="11"/>
      <c r="C537" s="11"/>
      <c r="D537" s="11"/>
      <c r="E537" s="13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0"/>
      <c r="X537" s="10"/>
    </row>
    <row r="538" spans="1:24" ht="22.5" customHeight="1">
      <c r="A538" s="11"/>
      <c r="B538" s="11"/>
      <c r="C538" s="11"/>
      <c r="D538" s="11"/>
      <c r="E538" s="13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0"/>
      <c r="X538" s="10"/>
    </row>
    <row r="539" spans="1:24" ht="22.5" customHeight="1">
      <c r="A539" s="11"/>
      <c r="B539" s="11"/>
      <c r="C539" s="11"/>
      <c r="D539" s="11"/>
      <c r="E539" s="13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0"/>
      <c r="X539" s="10"/>
    </row>
    <row r="540" spans="1:24" ht="22.5" customHeight="1">
      <c r="A540" s="11"/>
      <c r="B540" s="11"/>
      <c r="C540" s="11"/>
      <c r="D540" s="11"/>
      <c r="E540" s="13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0"/>
      <c r="X540" s="10"/>
    </row>
    <row r="541" spans="1:24" ht="22.5" customHeight="1">
      <c r="A541" s="11"/>
      <c r="B541" s="11"/>
      <c r="C541" s="11"/>
      <c r="D541" s="11"/>
      <c r="E541" s="13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0"/>
      <c r="X541" s="10"/>
    </row>
    <row r="542" spans="1:24" ht="22.5" customHeight="1">
      <c r="A542" s="11"/>
      <c r="B542" s="11"/>
      <c r="C542" s="11"/>
      <c r="D542" s="11"/>
      <c r="E542" s="13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0"/>
      <c r="X542" s="10"/>
    </row>
    <row r="543" spans="1:24" ht="22.5" customHeight="1">
      <c r="A543" s="11"/>
      <c r="B543" s="11"/>
      <c r="C543" s="11"/>
      <c r="D543" s="11"/>
      <c r="E543" s="13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 spans="1:24" ht="22.5" customHeight="1">
      <c r="A544" s="11"/>
      <c r="B544" s="11"/>
      <c r="C544" s="11"/>
      <c r="D544" s="11"/>
      <c r="E544" s="1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 spans="1:24" ht="22.5" customHeight="1">
      <c r="A545" s="11"/>
      <c r="B545" s="11"/>
      <c r="C545" s="11"/>
      <c r="D545" s="11"/>
      <c r="E545" s="1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7"/>
      <c r="X545" s="7"/>
    </row>
    <row r="546" spans="1:24" ht="22.5" customHeight="1">
      <c r="A546" s="11"/>
      <c r="B546" s="11"/>
      <c r="C546" s="11"/>
      <c r="D546" s="11"/>
      <c r="E546" s="13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2"/>
      <c r="X546" s="12"/>
    </row>
    <row r="547" spans="1:24" ht="22.5" customHeight="1">
      <c r="A547" s="11"/>
      <c r="B547" s="11"/>
      <c r="C547" s="11"/>
      <c r="D547" s="11"/>
      <c r="E547" s="13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/>
      <c r="X547" s="10"/>
    </row>
    <row r="548" spans="1:24" ht="22.5" customHeight="1">
      <c r="A548" s="11"/>
      <c r="B548" s="11"/>
      <c r="C548" s="11"/>
      <c r="D548" s="11"/>
      <c r="E548" s="13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/>
      <c r="X548" s="10"/>
    </row>
    <row r="549" spans="1:24" ht="22.5" customHeight="1">
      <c r="A549" s="11"/>
      <c r="B549" s="11"/>
      <c r="C549" s="11"/>
      <c r="D549" s="11"/>
      <c r="E549" s="13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0"/>
      <c r="X549" s="10"/>
    </row>
    <row r="550" spans="1:24" ht="22.5" customHeight="1">
      <c r="A550" s="11"/>
      <c r="B550" s="11"/>
      <c r="C550" s="11"/>
      <c r="D550" s="11"/>
      <c r="E550" s="13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0"/>
      <c r="X550" s="10"/>
    </row>
    <row r="551" spans="1:24" ht="22.5" customHeight="1">
      <c r="A551" s="11"/>
      <c r="B551" s="11"/>
      <c r="C551" s="11"/>
      <c r="D551" s="11"/>
      <c r="E551" s="1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0"/>
      <c r="X551" s="10"/>
    </row>
    <row r="552" spans="1:24" ht="22.5" customHeight="1">
      <c r="A552" s="11"/>
      <c r="B552" s="11"/>
      <c r="C552" s="11"/>
      <c r="D552" s="11"/>
      <c r="E552" s="1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0"/>
      <c r="X552" s="10"/>
    </row>
    <row r="553" spans="1:24" ht="22.5" customHeight="1">
      <c r="A553" s="11"/>
      <c r="B553" s="11"/>
      <c r="C553" s="11"/>
      <c r="D553" s="11"/>
      <c r="E553" s="13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0"/>
      <c r="X553" s="10"/>
    </row>
    <row r="554" spans="1:24" ht="22.5" customHeight="1">
      <c r="A554" s="11"/>
      <c r="B554" s="11"/>
      <c r="C554" s="11"/>
      <c r="D554" s="11"/>
      <c r="E554" s="13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0"/>
      <c r="X554" s="10"/>
    </row>
    <row r="555" spans="1:24" ht="22.5" customHeight="1">
      <c r="A555" s="11"/>
      <c r="B555" s="11"/>
      <c r="C555" s="11"/>
      <c r="D555" s="11"/>
      <c r="E555" s="13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0"/>
      <c r="X555" s="10"/>
    </row>
    <row r="556" spans="1:24" ht="22.5" customHeight="1">
      <c r="A556" s="11"/>
      <c r="B556" s="11"/>
      <c r="C556" s="11"/>
      <c r="D556" s="11"/>
      <c r="E556" s="13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0"/>
      <c r="X556" s="10"/>
    </row>
    <row r="557" spans="1:24" ht="22.5" customHeight="1">
      <c r="A557" s="11"/>
      <c r="B557" s="11"/>
      <c r="C557" s="11"/>
      <c r="D557" s="11"/>
      <c r="E557" s="13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0"/>
      <c r="X557" s="10"/>
    </row>
    <row r="558" spans="1:24" ht="22.5" customHeight="1">
      <c r="A558" s="11"/>
      <c r="B558" s="11"/>
      <c r="C558" s="11"/>
      <c r="D558" s="11"/>
      <c r="E558" s="13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0"/>
      <c r="X558" s="10"/>
    </row>
    <row r="559" spans="1:24" ht="22.5" customHeight="1">
      <c r="A559" s="11"/>
      <c r="B559" s="11"/>
      <c r="C559" s="11"/>
      <c r="D559" s="11"/>
      <c r="E559" s="13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0"/>
      <c r="X559" s="10"/>
    </row>
    <row r="560" spans="1:24" ht="22.5" customHeight="1">
      <c r="A560" s="11"/>
      <c r="B560" s="11"/>
      <c r="C560" s="11"/>
      <c r="D560" s="11"/>
      <c r="E560" s="13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 spans="1:24" ht="22.5" customHeight="1">
      <c r="A561" s="11"/>
      <c r="B561" s="11"/>
      <c r="C561" s="11"/>
      <c r="D561" s="11"/>
      <c r="E561" s="13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 spans="1:24" ht="22.5" customHeight="1">
      <c r="A562" s="11"/>
      <c r="B562" s="11"/>
      <c r="C562" s="11"/>
      <c r="D562" s="11"/>
      <c r="E562" s="13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7"/>
      <c r="X562" s="7"/>
    </row>
    <row r="563" spans="1:24" ht="22.5" customHeight="1">
      <c r="A563" s="11"/>
      <c r="B563" s="11"/>
      <c r="C563" s="11"/>
      <c r="D563" s="11"/>
      <c r="E563" s="13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2"/>
      <c r="X563" s="12"/>
    </row>
    <row r="564" spans="1:24" ht="22.5" customHeight="1">
      <c r="A564" s="11"/>
      <c r="B564" s="11"/>
      <c r="C564" s="11"/>
      <c r="D564" s="11"/>
      <c r="E564" s="13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0"/>
      <c r="X564" s="10"/>
    </row>
    <row r="565" spans="1:24" ht="22.5" customHeight="1">
      <c r="A565" s="11"/>
      <c r="B565" s="11"/>
      <c r="C565" s="11"/>
      <c r="D565" s="11"/>
      <c r="E565" s="13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0"/>
      <c r="X565" s="10"/>
    </row>
    <row r="566" spans="1:24" ht="22.5" customHeight="1">
      <c r="A566" s="11"/>
      <c r="B566" s="11"/>
      <c r="C566" s="11"/>
      <c r="D566" s="11"/>
      <c r="E566" s="13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0"/>
      <c r="X566" s="10"/>
    </row>
    <row r="567" spans="1:24" ht="22.5" customHeight="1">
      <c r="A567" s="11"/>
      <c r="B567" s="11"/>
      <c r="C567" s="11"/>
      <c r="D567" s="11"/>
      <c r="E567" s="13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0"/>
      <c r="X567" s="10"/>
    </row>
    <row r="568" spans="1:24" ht="22.5" customHeight="1">
      <c r="A568" s="11"/>
      <c r="B568" s="11"/>
      <c r="C568" s="11"/>
      <c r="D568" s="11"/>
      <c r="E568" s="13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0"/>
      <c r="X568" s="10"/>
    </row>
    <row r="569" spans="1:24" ht="22.5" customHeight="1">
      <c r="A569" s="11"/>
      <c r="B569" s="11"/>
      <c r="C569" s="11"/>
      <c r="D569" s="11"/>
      <c r="E569" s="13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0"/>
      <c r="X569" s="10"/>
    </row>
    <row r="570" spans="1:24" ht="22.5" customHeight="1">
      <c r="A570" s="11"/>
      <c r="B570" s="11"/>
      <c r="C570" s="11"/>
      <c r="D570" s="11"/>
      <c r="E570" s="13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0"/>
      <c r="X570" s="10"/>
    </row>
    <row r="571" spans="1:24" ht="22.5" customHeight="1">
      <c r="A571" s="11"/>
      <c r="B571" s="11"/>
      <c r="C571" s="11"/>
      <c r="D571" s="11"/>
      <c r="E571" s="13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0"/>
      <c r="X571" s="10"/>
    </row>
    <row r="572" spans="1:24" ht="22.5" customHeight="1">
      <c r="A572" s="11"/>
      <c r="B572" s="11"/>
      <c r="C572" s="11"/>
      <c r="D572" s="11"/>
      <c r="E572" s="13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0"/>
      <c r="X572" s="10"/>
    </row>
    <row r="573" spans="1:24" ht="22.5" customHeight="1">
      <c r="A573" s="11"/>
      <c r="B573" s="11"/>
      <c r="C573" s="11"/>
      <c r="D573" s="11"/>
      <c r="E573" s="13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0"/>
      <c r="X573" s="10"/>
    </row>
    <row r="574" spans="1:24" ht="22.5" customHeight="1">
      <c r="A574" s="11"/>
      <c r="B574" s="11"/>
      <c r="C574" s="11"/>
      <c r="D574" s="11"/>
      <c r="E574" s="13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0"/>
      <c r="X574" s="10"/>
    </row>
    <row r="575" spans="1:24" ht="22.5" customHeight="1">
      <c r="A575" s="11"/>
      <c r="B575" s="11"/>
      <c r="C575" s="11"/>
      <c r="D575" s="11"/>
      <c r="E575" s="13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0"/>
      <c r="X575" s="10"/>
    </row>
    <row r="576" spans="1:24" ht="22.5" customHeight="1">
      <c r="A576" s="11"/>
      <c r="B576" s="11"/>
      <c r="C576" s="11"/>
      <c r="D576" s="11"/>
      <c r="E576" s="13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0"/>
      <c r="X576" s="10"/>
    </row>
    <row r="577" spans="1:24" ht="22.5" customHeight="1">
      <c r="A577" s="11"/>
      <c r="B577" s="11"/>
      <c r="C577" s="11"/>
      <c r="D577" s="11"/>
      <c r="E577" s="13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 spans="1:24" ht="22.5" customHeight="1">
      <c r="A578" s="11"/>
      <c r="B578" s="11"/>
      <c r="C578" s="11"/>
      <c r="D578" s="11"/>
      <c r="E578" s="13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 spans="1:24" ht="22.5" customHeight="1">
      <c r="A579" s="11"/>
      <c r="B579" s="11"/>
      <c r="C579" s="11"/>
      <c r="D579" s="11"/>
      <c r="E579" s="13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7"/>
      <c r="X579" s="7"/>
    </row>
    <row r="580" spans="1:24" ht="22.5" customHeight="1">
      <c r="A580" s="11"/>
      <c r="B580" s="11"/>
      <c r="C580" s="11"/>
      <c r="D580" s="11"/>
      <c r="E580" s="13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2"/>
      <c r="X580" s="12"/>
    </row>
    <row r="581" spans="1:24" ht="22.5" customHeight="1">
      <c r="A581" s="11"/>
      <c r="B581" s="11"/>
      <c r="C581" s="11"/>
      <c r="D581" s="11"/>
      <c r="E581" s="13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0"/>
      <c r="X581" s="10"/>
    </row>
    <row r="582" spans="1:24" ht="22.5" customHeight="1">
      <c r="A582" s="11"/>
      <c r="B582" s="11"/>
      <c r="C582" s="11"/>
      <c r="D582" s="11"/>
      <c r="E582" s="13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0"/>
      <c r="X582" s="10"/>
    </row>
    <row r="583" spans="1:24" ht="22.5" customHeight="1">
      <c r="A583" s="11"/>
      <c r="B583" s="11"/>
      <c r="C583" s="11"/>
      <c r="D583" s="11"/>
      <c r="E583" s="13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0"/>
      <c r="X583" s="10"/>
    </row>
    <row r="584" spans="1:24" ht="22.5" customHeight="1">
      <c r="A584" s="11"/>
      <c r="B584" s="11"/>
      <c r="C584" s="11"/>
      <c r="D584" s="11"/>
      <c r="E584" s="13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0"/>
      <c r="X584" s="10"/>
    </row>
    <row r="585" spans="1:24" ht="22.5" customHeight="1">
      <c r="A585" s="11"/>
      <c r="B585" s="11"/>
      <c r="C585" s="11"/>
      <c r="D585" s="11"/>
      <c r="E585" s="13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0"/>
      <c r="X585" s="10"/>
    </row>
    <row r="586" spans="1:24" ht="22.5" customHeight="1">
      <c r="A586" s="11"/>
      <c r="B586" s="11"/>
      <c r="C586" s="11"/>
      <c r="D586" s="11"/>
      <c r="E586" s="13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0"/>
      <c r="X586" s="10"/>
    </row>
    <row r="587" spans="1:24" ht="22.5" customHeight="1">
      <c r="A587" s="11"/>
      <c r="B587" s="11"/>
      <c r="C587" s="11"/>
      <c r="D587" s="11"/>
      <c r="E587" s="13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0"/>
      <c r="X587" s="10"/>
    </row>
    <row r="588" spans="1:24" ht="22.5" customHeight="1">
      <c r="A588" s="11"/>
      <c r="B588" s="11"/>
      <c r="C588" s="11"/>
      <c r="D588" s="11"/>
      <c r="E588" s="13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0"/>
      <c r="X588" s="10"/>
    </row>
    <row r="589" spans="1:24" ht="22.5" customHeight="1">
      <c r="A589" s="11"/>
      <c r="B589" s="11"/>
      <c r="C589" s="11"/>
      <c r="D589" s="11"/>
      <c r="E589" s="13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0"/>
      <c r="X589" s="10"/>
    </row>
    <row r="590" spans="1:24" ht="22.5" customHeight="1">
      <c r="A590" s="11"/>
      <c r="B590" s="11"/>
      <c r="C590" s="11"/>
      <c r="D590" s="11"/>
      <c r="E590" s="13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0"/>
      <c r="X590" s="10"/>
    </row>
    <row r="591" spans="1:24" ht="22.5" customHeight="1">
      <c r="A591" s="11"/>
      <c r="B591" s="11"/>
      <c r="C591" s="11"/>
      <c r="D591" s="11"/>
      <c r="E591" s="13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0"/>
      <c r="X591" s="10"/>
    </row>
    <row r="592" spans="1:24" ht="22.5" customHeight="1">
      <c r="A592" s="11"/>
      <c r="B592" s="11"/>
      <c r="C592" s="11"/>
      <c r="D592" s="11"/>
      <c r="E592" s="1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0"/>
      <c r="X592" s="10"/>
    </row>
    <row r="593" spans="1:24" ht="22.5" customHeight="1">
      <c r="A593" s="11"/>
      <c r="B593" s="11"/>
      <c r="C593" s="11"/>
      <c r="D593" s="11"/>
      <c r="E593" s="1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0"/>
      <c r="X593" s="10"/>
    </row>
    <row r="594" spans="1:24" ht="22.5" customHeight="1">
      <c r="A594" s="11"/>
      <c r="B594" s="11"/>
      <c r="C594" s="11"/>
      <c r="D594" s="11"/>
      <c r="E594" s="1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 spans="1:24" ht="22.5" customHeight="1">
      <c r="A595" s="11"/>
      <c r="B595" s="11"/>
      <c r="C595" s="11"/>
      <c r="D595" s="11"/>
      <c r="E595" s="13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 spans="1:24" ht="22.5" customHeight="1">
      <c r="A596" s="11"/>
      <c r="B596" s="11"/>
      <c r="C596" s="11"/>
      <c r="D596" s="11"/>
      <c r="E596" s="13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7"/>
      <c r="X596" s="7"/>
    </row>
    <row r="597" spans="1:24" ht="22.5" customHeight="1">
      <c r="A597" s="11"/>
      <c r="B597" s="11"/>
      <c r="C597" s="11"/>
      <c r="D597" s="11"/>
      <c r="E597" s="1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2"/>
      <c r="X597" s="12"/>
    </row>
    <row r="598" spans="1:24" ht="22.5" customHeight="1">
      <c r="A598" s="11"/>
      <c r="B598" s="11"/>
      <c r="C598" s="11"/>
      <c r="D598" s="11"/>
      <c r="E598" s="1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0"/>
      <c r="X598" s="10"/>
    </row>
    <row r="599" spans="1:24" ht="22.5" customHeight="1">
      <c r="A599" s="11"/>
      <c r="B599" s="11"/>
      <c r="C599" s="11"/>
      <c r="D599" s="11"/>
      <c r="E599" s="1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0"/>
      <c r="X599" s="10"/>
    </row>
    <row r="600" spans="1:24" ht="22.5" customHeight="1">
      <c r="A600" s="11"/>
      <c r="B600" s="11"/>
      <c r="C600" s="11"/>
      <c r="D600" s="11"/>
      <c r="E600" s="1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0"/>
      <c r="X600" s="10"/>
    </row>
    <row r="601" spans="1:24" ht="22.5" customHeight="1">
      <c r="A601" s="11"/>
      <c r="B601" s="11"/>
      <c r="C601" s="11"/>
      <c r="D601" s="11"/>
      <c r="E601" s="1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0"/>
      <c r="X601" s="10"/>
    </row>
    <row r="602" spans="1:24" ht="22.5" customHeight="1">
      <c r="A602" s="11"/>
      <c r="B602" s="11"/>
      <c r="C602" s="11"/>
      <c r="D602" s="11"/>
      <c r="E602" s="1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0"/>
      <c r="X602" s="10"/>
    </row>
    <row r="603" spans="1:24" ht="22.5" customHeight="1">
      <c r="A603" s="11"/>
      <c r="B603" s="11"/>
      <c r="C603" s="11"/>
      <c r="D603" s="11"/>
      <c r="E603" s="1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0"/>
      <c r="X603" s="10"/>
    </row>
    <row r="604" spans="1:24" ht="22.5" customHeight="1">
      <c r="A604" s="11"/>
      <c r="B604" s="11"/>
      <c r="C604" s="11"/>
      <c r="D604" s="11"/>
      <c r="E604" s="1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0"/>
      <c r="X604" s="10"/>
    </row>
    <row r="605" spans="1:24" ht="22.5" customHeight="1">
      <c r="A605" s="11"/>
      <c r="B605" s="11"/>
      <c r="C605" s="11"/>
      <c r="D605" s="11"/>
      <c r="E605" s="1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0"/>
      <c r="X605" s="10"/>
    </row>
    <row r="606" spans="1:24" ht="22.5" customHeight="1">
      <c r="A606" s="11"/>
      <c r="B606" s="11"/>
      <c r="C606" s="11"/>
      <c r="D606" s="11"/>
      <c r="E606" s="1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0"/>
      <c r="X606" s="10"/>
    </row>
    <row r="607" spans="1:24" ht="22.5" customHeight="1">
      <c r="A607" s="11"/>
      <c r="B607" s="11"/>
      <c r="C607" s="11"/>
      <c r="D607" s="11"/>
      <c r="E607" s="1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0"/>
      <c r="X607" s="10"/>
    </row>
    <row r="608" spans="1:24" ht="22.5" customHeight="1">
      <c r="A608" s="11"/>
      <c r="B608" s="11"/>
      <c r="C608" s="11"/>
      <c r="D608" s="11"/>
      <c r="E608" s="1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0"/>
      <c r="X608" s="10"/>
    </row>
    <row r="609" spans="1:24" ht="22.5" customHeight="1">
      <c r="A609" s="11"/>
      <c r="B609" s="11"/>
      <c r="C609" s="11"/>
      <c r="D609" s="11"/>
      <c r="E609" s="1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0"/>
      <c r="X609" s="10"/>
    </row>
    <row r="610" spans="1:24" ht="22.5" customHeight="1">
      <c r="A610" s="11"/>
      <c r="B610" s="11"/>
      <c r="C610" s="11"/>
      <c r="D610" s="11"/>
      <c r="E610" s="1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0"/>
      <c r="X610" s="10"/>
    </row>
    <row r="611" spans="1:24" ht="22.5" customHeight="1">
      <c r="A611" s="11"/>
      <c r="B611" s="11"/>
      <c r="C611" s="11"/>
      <c r="D611" s="11"/>
      <c r="E611" s="1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 spans="1:24" ht="22.5" customHeight="1">
      <c r="A612" s="11"/>
      <c r="B612" s="11"/>
      <c r="C612" s="11"/>
      <c r="D612" s="11"/>
      <c r="E612" s="1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 spans="1:24" ht="22.5" customHeight="1">
      <c r="A613" s="11"/>
      <c r="B613" s="11"/>
      <c r="C613" s="11"/>
      <c r="D613" s="11"/>
      <c r="E613" s="1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7"/>
      <c r="X613" s="7"/>
    </row>
    <row r="614" spans="1:24" ht="22.5" customHeight="1">
      <c r="A614" s="11"/>
      <c r="B614" s="11"/>
      <c r="C614" s="11"/>
      <c r="D614" s="11"/>
      <c r="E614" s="1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2"/>
      <c r="X614" s="12"/>
    </row>
    <row r="615" spans="1:24" ht="22.5" customHeight="1">
      <c r="A615" s="11"/>
      <c r="B615" s="11"/>
      <c r="C615" s="11"/>
      <c r="D615" s="11"/>
      <c r="E615" s="1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/>
      <c r="X615" s="10"/>
    </row>
    <row r="616" spans="1:24" ht="22.5" customHeight="1">
      <c r="A616" s="11"/>
      <c r="B616" s="11"/>
      <c r="C616" s="11"/>
      <c r="D616" s="11"/>
      <c r="E616" s="1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/>
      <c r="X616" s="10"/>
    </row>
    <row r="617" spans="1:24" ht="22.5" customHeight="1">
      <c r="A617" s="11"/>
      <c r="B617" s="11"/>
      <c r="C617" s="11"/>
      <c r="D617" s="11"/>
      <c r="E617" s="1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0"/>
      <c r="X617" s="10"/>
    </row>
    <row r="618" spans="1:24" ht="22.5" customHeight="1">
      <c r="A618" s="11"/>
      <c r="B618" s="11"/>
      <c r="C618" s="11"/>
      <c r="D618" s="11"/>
      <c r="E618" s="1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/>
      <c r="X618" s="10"/>
    </row>
    <row r="619" spans="1:24" ht="22.5" customHeight="1">
      <c r="A619" s="11"/>
      <c r="B619" s="11"/>
      <c r="C619" s="11"/>
      <c r="D619" s="11"/>
      <c r="E619" s="1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/>
      <c r="X619" s="10"/>
    </row>
    <row r="620" spans="1:24" ht="22.5" customHeight="1">
      <c r="A620" s="11"/>
      <c r="B620" s="11"/>
      <c r="C620" s="11"/>
      <c r="D620" s="11"/>
      <c r="E620" s="1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0"/>
      <c r="X620" s="10"/>
    </row>
    <row r="621" spans="1:24" ht="22.5" customHeight="1">
      <c r="A621" s="11"/>
      <c r="B621" s="11"/>
      <c r="C621" s="11"/>
      <c r="D621" s="11"/>
      <c r="E621" s="13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0"/>
      <c r="X621" s="10"/>
    </row>
    <row r="622" spans="1:24" ht="22.5" customHeight="1">
      <c r="A622" s="11"/>
      <c r="B622" s="11"/>
      <c r="C622" s="11"/>
      <c r="D622" s="11"/>
      <c r="E622" s="13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0"/>
      <c r="X622" s="10"/>
    </row>
    <row r="623" spans="1:24" ht="22.5" customHeight="1">
      <c r="A623" s="11"/>
      <c r="B623" s="11"/>
      <c r="C623" s="11"/>
      <c r="D623" s="11"/>
      <c r="E623" s="13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0"/>
      <c r="X623" s="10"/>
    </row>
    <row r="624" spans="1:24" ht="22.5" customHeight="1">
      <c r="A624" s="11"/>
      <c r="B624" s="11"/>
      <c r="C624" s="11"/>
      <c r="D624" s="11"/>
      <c r="E624" s="13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0"/>
      <c r="X624" s="10"/>
    </row>
    <row r="625" spans="1:24" ht="22.5" customHeight="1">
      <c r="A625" s="11"/>
      <c r="B625" s="11"/>
      <c r="C625" s="11"/>
      <c r="D625" s="11"/>
      <c r="E625" s="13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0"/>
      <c r="X625" s="10"/>
    </row>
    <row r="626" spans="1:24" ht="22.5" customHeight="1">
      <c r="A626" s="11"/>
      <c r="B626" s="11"/>
      <c r="C626" s="11"/>
      <c r="D626" s="11"/>
      <c r="E626" s="13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0"/>
      <c r="X626" s="10"/>
    </row>
    <row r="627" spans="1:24" ht="22.5" customHeight="1">
      <c r="A627" s="11"/>
      <c r="B627" s="11"/>
      <c r="C627" s="11"/>
      <c r="D627" s="11"/>
      <c r="E627" s="13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0"/>
      <c r="X627" s="10"/>
    </row>
    <row r="628" spans="1:24" ht="22.5" customHeight="1">
      <c r="A628" s="11"/>
      <c r="B628" s="11"/>
      <c r="C628" s="11"/>
      <c r="D628" s="11"/>
      <c r="E628" s="13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 spans="1:24" ht="22.5" customHeight="1">
      <c r="A629" s="11"/>
      <c r="B629" s="11"/>
      <c r="C629" s="11"/>
      <c r="D629" s="11"/>
      <c r="E629" s="13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 spans="1:24" ht="22.5" customHeight="1">
      <c r="A630" s="11"/>
      <c r="B630" s="11"/>
      <c r="C630" s="11"/>
      <c r="D630" s="11"/>
      <c r="E630" s="13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7"/>
      <c r="X630" s="7"/>
    </row>
    <row r="631" spans="1:24" ht="22.5" customHeight="1">
      <c r="A631" s="11"/>
      <c r="B631" s="11"/>
      <c r="C631" s="11"/>
      <c r="D631" s="11"/>
      <c r="E631" s="13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2"/>
      <c r="X631" s="12"/>
    </row>
    <row r="632" spans="1:24" ht="22.5" customHeight="1">
      <c r="A632" s="11"/>
      <c r="B632" s="11"/>
      <c r="C632" s="11"/>
      <c r="D632" s="11"/>
      <c r="E632" s="13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0"/>
      <c r="X632" s="10"/>
    </row>
    <row r="633" spans="1:24" ht="22.5" customHeight="1">
      <c r="A633" s="11"/>
      <c r="B633" s="11"/>
      <c r="C633" s="11"/>
      <c r="D633" s="11"/>
      <c r="E633" s="13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0"/>
      <c r="X633" s="10"/>
    </row>
    <row r="634" spans="1:24" ht="22.5" customHeight="1">
      <c r="A634" s="11"/>
      <c r="B634" s="11"/>
      <c r="C634" s="11"/>
      <c r="D634" s="11"/>
      <c r="E634" s="13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0"/>
      <c r="X634" s="10"/>
    </row>
    <row r="635" spans="1:24" ht="22.5" customHeight="1">
      <c r="A635" s="11"/>
      <c r="B635" s="11"/>
      <c r="C635" s="11"/>
      <c r="D635" s="11"/>
      <c r="E635" s="13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0"/>
      <c r="X635" s="10"/>
    </row>
    <row r="636" spans="1:24" ht="22.5" customHeight="1">
      <c r="A636" s="11"/>
      <c r="B636" s="11"/>
      <c r="C636" s="11"/>
      <c r="D636" s="11"/>
      <c r="E636" s="13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0"/>
      <c r="X636" s="10"/>
    </row>
    <row r="637" spans="1:24" ht="22.5" customHeight="1">
      <c r="A637" s="11"/>
      <c r="B637" s="11"/>
      <c r="C637" s="11"/>
      <c r="D637" s="11"/>
      <c r="E637" s="13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0"/>
      <c r="X637" s="10"/>
    </row>
    <row r="638" spans="1:24" ht="22.5" customHeight="1">
      <c r="A638" s="11"/>
      <c r="B638" s="11"/>
      <c r="C638" s="11"/>
      <c r="D638" s="11"/>
      <c r="E638" s="13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0"/>
      <c r="X638" s="10"/>
    </row>
    <row r="639" spans="1:24" ht="22.5" customHeight="1">
      <c r="A639" s="11"/>
      <c r="B639" s="11"/>
      <c r="C639" s="11"/>
      <c r="D639" s="11"/>
      <c r="E639" s="13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0"/>
      <c r="X639" s="10"/>
    </row>
    <row r="640" spans="1:24" ht="22.5" customHeight="1">
      <c r="A640" s="11"/>
      <c r="B640" s="11"/>
      <c r="C640" s="11"/>
      <c r="D640" s="11"/>
      <c r="E640" s="13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0"/>
      <c r="X640" s="10"/>
    </row>
    <row r="641" spans="1:24" ht="22.5" customHeight="1">
      <c r="A641" s="11"/>
      <c r="B641" s="11"/>
      <c r="C641" s="11"/>
      <c r="D641" s="11"/>
      <c r="E641" s="13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0"/>
      <c r="X641" s="10"/>
    </row>
    <row r="642" spans="1:24" ht="22.5" customHeight="1">
      <c r="A642" s="11"/>
      <c r="B642" s="11"/>
      <c r="C642" s="11"/>
      <c r="D642" s="11"/>
      <c r="E642" s="1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0"/>
      <c r="X642" s="10"/>
    </row>
    <row r="643" spans="1:24" ht="22.5" customHeight="1">
      <c r="A643" s="11"/>
      <c r="B643" s="11"/>
      <c r="C643" s="11"/>
      <c r="D643" s="11"/>
      <c r="E643" s="13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0"/>
      <c r="X643" s="10"/>
    </row>
    <row r="644" spans="1:24" ht="22.5" customHeight="1">
      <c r="A644" s="11"/>
      <c r="B644" s="11"/>
      <c r="C644" s="11"/>
      <c r="D644" s="11"/>
      <c r="E644" s="13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0"/>
      <c r="X644" s="10"/>
    </row>
    <row r="645" spans="1:24" ht="22.5" customHeight="1">
      <c r="A645" s="11"/>
      <c r="B645" s="11"/>
      <c r="C645" s="11"/>
      <c r="D645" s="11"/>
      <c r="E645" s="13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 spans="1:24" ht="22.5" customHeight="1">
      <c r="A646" s="11"/>
      <c r="B646" s="11"/>
      <c r="C646" s="11"/>
      <c r="D646" s="11"/>
      <c r="E646" s="13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 spans="1:24" ht="22.5" customHeight="1">
      <c r="A647" s="11"/>
      <c r="B647" s="11"/>
      <c r="C647" s="11"/>
      <c r="D647" s="11"/>
      <c r="E647" s="13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7"/>
      <c r="X647" s="7"/>
    </row>
    <row r="648" spans="1:24" ht="22.5" customHeight="1">
      <c r="A648" s="11"/>
      <c r="B648" s="11"/>
      <c r="C648" s="11"/>
      <c r="D648" s="11"/>
      <c r="E648" s="13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2"/>
      <c r="X648" s="12"/>
    </row>
    <row r="649" spans="1:24" ht="22.5" customHeight="1">
      <c r="A649" s="11"/>
      <c r="B649" s="11"/>
      <c r="C649" s="11"/>
      <c r="D649" s="11"/>
      <c r="E649" s="1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0"/>
      <c r="X649" s="10"/>
    </row>
    <row r="650" spans="1:24" ht="22.5" customHeight="1">
      <c r="A650" s="11"/>
      <c r="B650" s="11"/>
      <c r="C650" s="11"/>
      <c r="D650" s="11"/>
      <c r="E650" s="1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0"/>
      <c r="X650" s="10"/>
    </row>
    <row r="651" spans="1:24" ht="22.5" customHeight="1">
      <c r="A651" s="11"/>
      <c r="B651" s="11"/>
      <c r="C651" s="11"/>
      <c r="D651" s="11"/>
      <c r="E651" s="1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0"/>
      <c r="X651" s="10"/>
    </row>
    <row r="652" spans="1:24" ht="22.5" customHeight="1">
      <c r="A652" s="11"/>
      <c r="B652" s="11"/>
      <c r="C652" s="11"/>
      <c r="D652" s="11"/>
      <c r="E652" s="1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0"/>
      <c r="X652" s="10"/>
    </row>
    <row r="653" spans="1:24" ht="22.5" customHeight="1">
      <c r="A653" s="11"/>
      <c r="B653" s="11"/>
      <c r="C653" s="11"/>
      <c r="D653" s="11"/>
      <c r="E653" s="1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0"/>
      <c r="X653" s="10"/>
    </row>
    <row r="654" spans="1:24" ht="22.5" customHeight="1">
      <c r="A654" s="11"/>
      <c r="B654" s="11"/>
      <c r="C654" s="11"/>
      <c r="D654" s="11"/>
      <c r="E654" s="13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0"/>
      <c r="X654" s="10"/>
    </row>
    <row r="655" spans="1:24" ht="22.5" customHeight="1">
      <c r="A655" s="11"/>
      <c r="B655" s="11"/>
      <c r="C655" s="11"/>
      <c r="D655" s="11"/>
      <c r="E655" s="13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0"/>
      <c r="X655" s="10"/>
    </row>
    <row r="656" spans="1:24" ht="22.5" customHeight="1">
      <c r="A656" s="11"/>
      <c r="B656" s="11"/>
      <c r="C656" s="11"/>
      <c r="D656" s="11"/>
      <c r="E656" s="1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0"/>
      <c r="X656" s="10"/>
    </row>
    <row r="657" spans="1:24" ht="22.5" customHeight="1">
      <c r="A657" s="11"/>
      <c r="B657" s="11"/>
      <c r="C657" s="11"/>
      <c r="D657" s="11"/>
      <c r="E657" s="1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0"/>
      <c r="X657" s="10"/>
    </row>
    <row r="658" spans="1:24" ht="22.5" customHeight="1">
      <c r="A658" s="11"/>
      <c r="B658" s="11"/>
      <c r="C658" s="11"/>
      <c r="D658" s="11"/>
      <c r="E658" s="13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0"/>
      <c r="X658" s="10"/>
    </row>
    <row r="659" spans="1:24" ht="22.5" customHeight="1">
      <c r="A659" s="11"/>
      <c r="B659" s="11"/>
      <c r="C659" s="11"/>
      <c r="D659" s="11"/>
      <c r="E659" s="13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0"/>
      <c r="X659" s="10"/>
    </row>
    <row r="660" spans="1:24" ht="22.5" customHeight="1">
      <c r="A660" s="11"/>
      <c r="B660" s="11"/>
      <c r="C660" s="11"/>
      <c r="D660" s="11"/>
      <c r="E660" s="13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0"/>
      <c r="X660" s="10"/>
    </row>
    <row r="661" spans="1:24" ht="22.5" customHeight="1">
      <c r="A661" s="11"/>
      <c r="B661" s="11"/>
      <c r="C661" s="11"/>
      <c r="D661" s="11"/>
      <c r="E661" s="13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0"/>
      <c r="X661" s="10"/>
    </row>
    <row r="662" spans="1:24" ht="22.5" customHeight="1">
      <c r="A662" s="11"/>
      <c r="B662" s="11"/>
      <c r="C662" s="11"/>
      <c r="D662" s="11"/>
      <c r="E662" s="13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 spans="1:24" ht="22.5" customHeight="1">
      <c r="A663" s="11"/>
      <c r="B663" s="11"/>
      <c r="C663" s="11"/>
      <c r="D663" s="11"/>
      <c r="E663" s="13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 spans="1:24" ht="22.5" customHeight="1">
      <c r="A664" s="11"/>
      <c r="B664" s="11"/>
      <c r="C664" s="11"/>
      <c r="D664" s="11"/>
      <c r="E664" s="13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7"/>
      <c r="X664" s="7"/>
    </row>
    <row r="665" spans="1:24" ht="22.5" customHeight="1">
      <c r="A665" s="11"/>
      <c r="B665" s="11"/>
      <c r="C665" s="11"/>
      <c r="D665" s="11"/>
      <c r="E665" s="13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2"/>
      <c r="X665" s="12"/>
    </row>
    <row r="666" spans="1:24" ht="22.5" customHeight="1">
      <c r="A666" s="11"/>
      <c r="B666" s="11"/>
      <c r="C666" s="11"/>
      <c r="D666" s="11"/>
      <c r="E666" s="1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0"/>
      <c r="X666" s="10"/>
    </row>
    <row r="667" spans="1:24" ht="22.5" customHeight="1">
      <c r="A667" s="11"/>
      <c r="B667" s="11"/>
      <c r="C667" s="11"/>
      <c r="D667" s="11"/>
      <c r="E667" s="13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0"/>
      <c r="X667" s="10"/>
    </row>
    <row r="668" spans="1:24" ht="22.5" customHeight="1">
      <c r="A668" s="11"/>
      <c r="B668" s="11"/>
      <c r="C668" s="11"/>
      <c r="D668" s="11"/>
      <c r="E668" s="13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0"/>
      <c r="X668" s="10"/>
    </row>
    <row r="669" spans="1:24" ht="22.5" customHeight="1">
      <c r="A669" s="11"/>
      <c r="B669" s="11"/>
      <c r="C669" s="11"/>
      <c r="D669" s="11"/>
      <c r="E669" s="13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0"/>
      <c r="X669" s="10"/>
    </row>
    <row r="670" spans="1:24" ht="22.5" customHeight="1">
      <c r="A670" s="11"/>
      <c r="B670" s="11"/>
      <c r="C670" s="11"/>
      <c r="D670" s="11"/>
      <c r="E670" s="13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0"/>
      <c r="X670" s="10"/>
    </row>
    <row r="671" spans="1:24" ht="22.5" customHeight="1">
      <c r="A671" s="11"/>
      <c r="B671" s="11"/>
      <c r="C671" s="11"/>
      <c r="D671" s="11"/>
      <c r="E671" s="13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0"/>
      <c r="X671" s="10"/>
    </row>
    <row r="672" spans="1:24" ht="22.5" customHeight="1">
      <c r="A672" s="11"/>
      <c r="B672" s="11"/>
      <c r="C672" s="11"/>
      <c r="D672" s="11"/>
      <c r="E672" s="13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0"/>
      <c r="X672" s="10"/>
    </row>
    <row r="673" spans="1:24" ht="22.5" customHeight="1">
      <c r="A673" s="11"/>
      <c r="B673" s="11"/>
      <c r="C673" s="11"/>
      <c r="D673" s="11"/>
      <c r="E673" s="13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0"/>
      <c r="X673" s="10"/>
    </row>
    <row r="674" spans="1:24" ht="22.5" customHeight="1">
      <c r="A674" s="11"/>
      <c r="B674" s="11"/>
      <c r="C674" s="11"/>
      <c r="D674" s="11"/>
      <c r="E674" s="13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0"/>
      <c r="X674" s="10"/>
    </row>
    <row r="675" spans="1:24" ht="22.5" customHeight="1">
      <c r="A675" s="11"/>
      <c r="B675" s="11"/>
      <c r="C675" s="11"/>
      <c r="D675" s="11"/>
      <c r="E675" s="13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0"/>
      <c r="X675" s="10"/>
    </row>
    <row r="676" spans="1:24" ht="22.5" customHeight="1">
      <c r="A676" s="11"/>
      <c r="B676" s="11"/>
      <c r="C676" s="11"/>
      <c r="D676" s="11"/>
      <c r="E676" s="13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0"/>
      <c r="X676" s="10"/>
    </row>
    <row r="677" spans="1:24" ht="22.5" customHeight="1">
      <c r="A677" s="11"/>
      <c r="B677" s="11"/>
      <c r="C677" s="11"/>
      <c r="D677" s="11"/>
      <c r="E677" s="13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0"/>
      <c r="X677" s="10"/>
    </row>
    <row r="678" spans="1:24" ht="22.5" customHeight="1">
      <c r="A678" s="11"/>
      <c r="B678" s="11"/>
      <c r="C678" s="11"/>
      <c r="D678" s="11"/>
      <c r="E678" s="13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0"/>
      <c r="X678" s="10"/>
    </row>
    <row r="679" spans="1:24" ht="22.5" customHeight="1">
      <c r="A679" s="11"/>
      <c r="B679" s="11"/>
      <c r="C679" s="11"/>
      <c r="D679" s="11"/>
      <c r="E679" s="13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 spans="1:24" ht="22.5" customHeight="1">
      <c r="A680" s="11"/>
      <c r="B680" s="11"/>
      <c r="C680" s="11"/>
      <c r="D680" s="11"/>
      <c r="E680" s="1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 spans="1:24" ht="22.5" customHeight="1">
      <c r="A681" s="11"/>
      <c r="B681" s="11"/>
      <c r="C681" s="11"/>
      <c r="D681" s="11"/>
      <c r="E681" s="1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7"/>
      <c r="X681" s="7"/>
    </row>
    <row r="682" spans="1:24" ht="22.5" customHeight="1">
      <c r="A682" s="11"/>
      <c r="B682" s="11"/>
      <c r="C682" s="11"/>
      <c r="D682" s="11"/>
      <c r="E682" s="1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2"/>
      <c r="X682" s="12"/>
    </row>
    <row r="683" spans="1:24" ht="22.5" customHeight="1">
      <c r="A683" s="11"/>
      <c r="B683" s="11"/>
      <c r="C683" s="11"/>
      <c r="D683" s="11"/>
      <c r="E683" s="1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0"/>
      <c r="X683" s="10"/>
    </row>
    <row r="684" spans="1:24" ht="22.5" customHeight="1">
      <c r="A684" s="11"/>
      <c r="B684" s="11"/>
      <c r="C684" s="11"/>
      <c r="D684" s="11"/>
      <c r="E684" s="1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0"/>
      <c r="X684" s="10"/>
    </row>
    <row r="685" spans="1:24" ht="22.5" customHeight="1">
      <c r="A685" s="11"/>
      <c r="B685" s="11"/>
      <c r="C685" s="11"/>
      <c r="D685" s="11"/>
      <c r="E685" s="1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0"/>
      <c r="X685" s="10"/>
    </row>
    <row r="686" spans="1:24" ht="22.5" customHeight="1">
      <c r="A686" s="11"/>
      <c r="B686" s="11"/>
      <c r="C686" s="11"/>
      <c r="D686" s="11"/>
      <c r="E686" s="1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0"/>
      <c r="X686" s="10"/>
    </row>
    <row r="687" spans="1:24" ht="22.5" customHeight="1">
      <c r="A687" s="11"/>
      <c r="B687" s="11"/>
      <c r="C687" s="11"/>
      <c r="D687" s="11"/>
      <c r="E687" s="1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0"/>
      <c r="X687" s="10"/>
    </row>
    <row r="688" spans="1:24" ht="22.5" customHeight="1">
      <c r="A688" s="11"/>
      <c r="B688" s="11"/>
      <c r="C688" s="11"/>
      <c r="D688" s="11"/>
      <c r="E688" s="13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0"/>
      <c r="X688" s="10"/>
    </row>
    <row r="689" spans="1:24" ht="22.5" customHeight="1">
      <c r="A689" s="11"/>
      <c r="B689" s="11"/>
      <c r="C689" s="11"/>
      <c r="D689" s="11"/>
      <c r="E689" s="13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0"/>
      <c r="X689" s="10"/>
    </row>
    <row r="690" spans="1:24" ht="22.5" customHeight="1">
      <c r="A690" s="11"/>
      <c r="B690" s="11"/>
      <c r="C690" s="11"/>
      <c r="D690" s="11"/>
      <c r="E690" s="1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0"/>
      <c r="X690" s="10"/>
    </row>
    <row r="691" spans="1:24" ht="22.5" customHeight="1">
      <c r="A691" s="11"/>
      <c r="B691" s="11"/>
      <c r="C691" s="11"/>
      <c r="D691" s="11"/>
      <c r="E691" s="1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0"/>
      <c r="X691" s="10"/>
    </row>
    <row r="692" spans="1:24" ht="22.5" customHeight="1">
      <c r="A692" s="11"/>
      <c r="B692" s="11"/>
      <c r="C692" s="11"/>
      <c r="D692" s="11"/>
      <c r="E692" s="13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0"/>
      <c r="X692" s="10"/>
    </row>
    <row r="693" spans="1:24" ht="22.5" customHeight="1">
      <c r="A693" s="11"/>
      <c r="B693" s="11"/>
      <c r="C693" s="11"/>
      <c r="D693" s="11"/>
      <c r="E693" s="13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0"/>
      <c r="X693" s="10"/>
    </row>
    <row r="694" spans="1:24" ht="22.5" customHeight="1">
      <c r="A694" s="11"/>
      <c r="B694" s="11"/>
      <c r="C694" s="11"/>
      <c r="D694" s="11"/>
      <c r="E694" s="13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0"/>
      <c r="X694" s="10"/>
    </row>
    <row r="695" spans="1:24" ht="22.5" customHeight="1">
      <c r="A695" s="11"/>
      <c r="B695" s="11"/>
      <c r="C695" s="11"/>
      <c r="D695" s="11"/>
      <c r="E695" s="13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0"/>
      <c r="X695" s="10"/>
    </row>
    <row r="696" spans="1:24" ht="22.5" customHeight="1">
      <c r="A696" s="11"/>
      <c r="B696" s="11"/>
      <c r="C696" s="11"/>
      <c r="D696" s="11"/>
      <c r="E696" s="13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 spans="1:24" ht="22.5" customHeight="1">
      <c r="A697" s="11"/>
      <c r="B697" s="11"/>
      <c r="C697" s="11"/>
      <c r="D697" s="11"/>
      <c r="E697" s="13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 spans="1:24" ht="22.5" customHeight="1">
      <c r="A698" s="11"/>
      <c r="B698" s="11"/>
      <c r="C698" s="11"/>
      <c r="D698" s="11"/>
      <c r="E698" s="13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7"/>
      <c r="X698" s="7"/>
    </row>
    <row r="699" spans="1:24" ht="22.5" customHeight="1">
      <c r="A699" s="11"/>
      <c r="B699" s="11"/>
      <c r="C699" s="11"/>
      <c r="D699" s="11"/>
      <c r="E699" s="13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2"/>
      <c r="X699" s="12"/>
    </row>
    <row r="700" spans="1:24" ht="22.5" customHeight="1">
      <c r="A700" s="11"/>
      <c r="B700" s="11"/>
      <c r="C700" s="11"/>
      <c r="D700" s="11"/>
      <c r="E700" s="13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0"/>
      <c r="X700" s="10"/>
    </row>
    <row r="701" spans="1:24" ht="22.5" customHeight="1">
      <c r="A701" s="11"/>
      <c r="B701" s="11"/>
      <c r="C701" s="11"/>
      <c r="D701" s="11"/>
      <c r="E701" s="1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0"/>
      <c r="X701" s="10"/>
    </row>
    <row r="702" spans="1:24" ht="22.5" customHeight="1">
      <c r="A702" s="11"/>
      <c r="B702" s="11"/>
      <c r="C702" s="11"/>
      <c r="D702" s="11"/>
      <c r="E702" s="1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/>
      <c r="X702" s="10"/>
    </row>
    <row r="703" spans="1:24" ht="22.5" customHeight="1">
      <c r="A703" s="11"/>
      <c r="B703" s="11"/>
      <c r="C703" s="11"/>
      <c r="D703" s="11"/>
      <c r="E703" s="1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0"/>
      <c r="X703" s="10"/>
    </row>
    <row r="704" spans="1:24" ht="22.5" customHeight="1">
      <c r="A704" s="11"/>
      <c r="B704" s="11"/>
      <c r="C704" s="11"/>
      <c r="D704" s="11"/>
      <c r="E704" s="1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0"/>
      <c r="X704" s="10"/>
    </row>
    <row r="705" spans="1:24" ht="22.5" customHeight="1">
      <c r="A705" s="11"/>
      <c r="B705" s="11"/>
      <c r="C705" s="11"/>
      <c r="D705" s="11"/>
      <c r="E705" s="1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0"/>
      <c r="X705" s="10"/>
    </row>
    <row r="706" spans="1:24" ht="22.5" customHeight="1">
      <c r="A706" s="11"/>
      <c r="B706" s="11"/>
      <c r="C706" s="11"/>
      <c r="D706" s="11"/>
      <c r="E706" s="1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0"/>
      <c r="X706" s="10"/>
    </row>
    <row r="707" spans="1:24" ht="22.5" customHeight="1">
      <c r="A707" s="11"/>
      <c r="B707" s="11"/>
      <c r="C707" s="11"/>
      <c r="D707" s="11"/>
      <c r="E707" s="1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0"/>
      <c r="X707" s="10"/>
    </row>
    <row r="708" spans="1:24" ht="22.5" customHeight="1">
      <c r="A708" s="11"/>
      <c r="B708" s="11"/>
      <c r="C708" s="11"/>
      <c r="D708" s="11"/>
      <c r="E708" s="1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0"/>
      <c r="X708" s="10"/>
    </row>
    <row r="709" spans="1:24" ht="22.5" customHeight="1">
      <c r="A709" s="11"/>
      <c r="B709" s="11"/>
      <c r="C709" s="11"/>
      <c r="D709" s="11"/>
      <c r="E709" s="1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/>
      <c r="X709" s="10"/>
    </row>
    <row r="710" spans="1:24" ht="22.5" customHeight="1">
      <c r="A710" s="11"/>
      <c r="B710" s="11"/>
      <c r="C710" s="11"/>
      <c r="D710" s="11"/>
      <c r="E710" s="1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0"/>
      <c r="X710" s="10"/>
    </row>
    <row r="711" spans="1:24" ht="22.5" customHeight="1">
      <c r="A711" s="11"/>
      <c r="B711" s="11"/>
      <c r="C711" s="11"/>
      <c r="D711" s="11"/>
      <c r="E711" s="1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0"/>
      <c r="X711" s="10"/>
    </row>
    <row r="712" spans="1:24" ht="22.5" customHeight="1">
      <c r="A712" s="11"/>
      <c r="B712" s="11"/>
      <c r="C712" s="11"/>
      <c r="D712" s="11"/>
      <c r="E712" s="1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0"/>
      <c r="X712" s="10"/>
    </row>
    <row r="713" spans="1:24" ht="22.5" customHeight="1">
      <c r="A713" s="11"/>
      <c r="B713" s="11"/>
      <c r="C713" s="11"/>
      <c r="D713" s="11"/>
      <c r="E713" s="1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 spans="1:24" ht="22.5" customHeight="1">
      <c r="A714" s="11"/>
      <c r="B714" s="11"/>
      <c r="C714" s="11"/>
      <c r="D714" s="11"/>
      <c r="E714" s="1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 spans="1:24" ht="22.5" customHeight="1">
      <c r="A715" s="11"/>
      <c r="B715" s="11"/>
      <c r="C715" s="11"/>
      <c r="D715" s="11"/>
      <c r="E715" s="1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7"/>
      <c r="X715" s="7"/>
    </row>
    <row r="716" spans="1:24" ht="22.5" customHeight="1">
      <c r="A716" s="11"/>
      <c r="B716" s="11"/>
      <c r="C716" s="11"/>
      <c r="D716" s="11"/>
      <c r="E716" s="13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2"/>
      <c r="X716" s="12"/>
    </row>
    <row r="717" spans="1:24" ht="22.5" customHeight="1">
      <c r="A717" s="11"/>
      <c r="B717" s="11"/>
      <c r="C717" s="11"/>
      <c r="D717" s="11"/>
      <c r="E717" s="1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0"/>
      <c r="X717" s="10"/>
    </row>
    <row r="718" spans="1:24" ht="22.5" customHeight="1">
      <c r="A718" s="11"/>
      <c r="B718" s="11"/>
      <c r="C718" s="11"/>
      <c r="D718" s="11"/>
      <c r="E718" s="1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0"/>
      <c r="X718" s="10"/>
    </row>
    <row r="719" spans="1:24" ht="22.5" customHeight="1">
      <c r="A719" s="11"/>
      <c r="B719" s="11"/>
      <c r="C719" s="11"/>
      <c r="D719" s="11"/>
      <c r="E719" s="1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0"/>
      <c r="X719" s="10"/>
    </row>
    <row r="720" spans="1:24" ht="22.5" customHeight="1">
      <c r="A720" s="11"/>
      <c r="B720" s="11"/>
      <c r="C720" s="11"/>
      <c r="D720" s="11"/>
      <c r="E720" s="1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0"/>
      <c r="X720" s="10"/>
    </row>
    <row r="721" spans="1:24" ht="22.5" customHeight="1">
      <c r="A721" s="11"/>
      <c r="B721" s="11"/>
      <c r="C721" s="11"/>
      <c r="D721" s="11"/>
      <c r="E721" s="1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0"/>
      <c r="X721" s="10"/>
    </row>
    <row r="722" spans="1:24" ht="22.5" customHeight="1">
      <c r="A722" s="11"/>
      <c r="B722" s="11"/>
      <c r="C722" s="11"/>
      <c r="D722" s="11"/>
      <c r="E722" s="1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0"/>
      <c r="X722" s="10"/>
    </row>
    <row r="723" spans="1:24" ht="22.5" customHeight="1">
      <c r="A723" s="11"/>
      <c r="B723" s="11"/>
      <c r="C723" s="11"/>
      <c r="D723" s="11"/>
      <c r="E723" s="1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0"/>
      <c r="X723" s="10"/>
    </row>
    <row r="724" spans="1:24" ht="22.5" customHeight="1">
      <c r="A724" s="11"/>
      <c r="B724" s="11"/>
      <c r="C724" s="11"/>
      <c r="D724" s="11"/>
      <c r="E724" s="1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0"/>
      <c r="X724" s="10"/>
    </row>
    <row r="725" spans="1:24" ht="22.5" customHeight="1">
      <c r="A725" s="11"/>
      <c r="B725" s="11"/>
      <c r="C725" s="11"/>
      <c r="D725" s="11"/>
      <c r="E725" s="1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0"/>
      <c r="X725" s="10"/>
    </row>
    <row r="726" spans="1:24" ht="22.5" customHeight="1">
      <c r="A726" s="11"/>
      <c r="B726" s="11"/>
      <c r="C726" s="11"/>
      <c r="D726" s="11"/>
      <c r="E726" s="1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0"/>
      <c r="X726" s="10"/>
    </row>
    <row r="727" spans="1:24" ht="22.5" customHeight="1">
      <c r="A727" s="11"/>
      <c r="B727" s="11"/>
      <c r="C727" s="11"/>
      <c r="D727" s="11"/>
      <c r="E727" s="1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0"/>
      <c r="X727" s="10"/>
    </row>
    <row r="728" spans="1:24" ht="22.5" customHeight="1">
      <c r="A728" s="11"/>
      <c r="B728" s="11"/>
      <c r="C728" s="11"/>
      <c r="D728" s="11"/>
      <c r="E728" s="1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0"/>
      <c r="X728" s="10"/>
    </row>
    <row r="729" spans="1:24" ht="22.5" customHeight="1">
      <c r="A729" s="11"/>
      <c r="B729" s="11"/>
      <c r="C729" s="11"/>
      <c r="D729" s="11"/>
      <c r="E729" s="1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0"/>
      <c r="X729" s="10"/>
    </row>
    <row r="730" spans="1:24" ht="22.5" customHeight="1">
      <c r="A730" s="11"/>
      <c r="B730" s="11"/>
      <c r="C730" s="11"/>
      <c r="D730" s="11"/>
      <c r="E730" s="1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 spans="1:24" ht="22.5" customHeight="1">
      <c r="A731" s="11"/>
      <c r="B731" s="11"/>
      <c r="C731" s="11"/>
      <c r="D731" s="11"/>
      <c r="E731" s="1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 spans="1:24" ht="22.5" customHeight="1">
      <c r="A732" s="11"/>
      <c r="B732" s="11"/>
      <c r="C732" s="11"/>
      <c r="D732" s="11"/>
      <c r="E732" s="1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7"/>
      <c r="X732" s="7"/>
    </row>
    <row r="733" spans="1:24" ht="22.5" customHeight="1">
      <c r="A733" s="11"/>
      <c r="B733" s="11"/>
      <c r="C733" s="11"/>
      <c r="D733" s="11"/>
      <c r="E733" s="1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2"/>
      <c r="X733" s="12"/>
    </row>
    <row r="734" spans="1:24" ht="22.5" customHeight="1">
      <c r="A734" s="11"/>
      <c r="B734" s="11"/>
      <c r="C734" s="11"/>
      <c r="D734" s="11"/>
      <c r="E734" s="1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0"/>
      <c r="X734" s="10"/>
    </row>
    <row r="735" spans="1:24" ht="22.5" customHeight="1">
      <c r="A735" s="11"/>
      <c r="B735" s="11"/>
      <c r="C735" s="11"/>
      <c r="D735" s="11"/>
      <c r="E735" s="1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0"/>
      <c r="X735" s="10"/>
    </row>
    <row r="736" spans="1:24" ht="22.5" customHeight="1">
      <c r="A736" s="11"/>
      <c r="B736" s="11"/>
      <c r="C736" s="11"/>
      <c r="D736" s="11"/>
      <c r="E736" s="1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0"/>
      <c r="X736" s="10"/>
    </row>
    <row r="737" spans="1:24" ht="22.5" customHeight="1">
      <c r="A737" s="11"/>
      <c r="B737" s="11"/>
      <c r="C737" s="11"/>
      <c r="D737" s="11"/>
      <c r="E737" s="1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0"/>
      <c r="X737" s="10"/>
    </row>
    <row r="738" spans="1:24" ht="22.5" customHeight="1">
      <c r="A738" s="11"/>
      <c r="B738" s="11"/>
      <c r="C738" s="11"/>
      <c r="D738" s="11"/>
      <c r="E738" s="1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0"/>
      <c r="X738" s="10"/>
    </row>
    <row r="739" spans="1:24" ht="22.5" customHeight="1">
      <c r="A739" s="11"/>
      <c r="B739" s="11"/>
      <c r="C739" s="11"/>
      <c r="D739" s="11"/>
      <c r="E739" s="1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0"/>
      <c r="X739" s="10"/>
    </row>
    <row r="740" spans="1:24" ht="22.5" customHeight="1">
      <c r="A740" s="11"/>
      <c r="B740" s="11"/>
      <c r="C740" s="11"/>
      <c r="D740" s="11"/>
      <c r="E740" s="1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0"/>
      <c r="X740" s="10"/>
    </row>
    <row r="741" spans="1:24" ht="22.5" customHeight="1">
      <c r="A741" s="11"/>
      <c r="B741" s="11"/>
      <c r="C741" s="11"/>
      <c r="D741" s="11"/>
      <c r="E741" s="1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0"/>
      <c r="X741" s="10"/>
    </row>
    <row r="742" spans="1:24" ht="22.5" customHeight="1">
      <c r="A742" s="11"/>
      <c r="B742" s="11"/>
      <c r="C742" s="11"/>
      <c r="D742" s="11"/>
      <c r="E742" s="1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0"/>
      <c r="X742" s="10"/>
    </row>
    <row r="743" spans="1:24" ht="22.5" customHeight="1">
      <c r="A743" s="11"/>
      <c r="B743" s="11"/>
      <c r="C743" s="11"/>
      <c r="D743" s="11"/>
      <c r="E743" s="1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0"/>
      <c r="X743" s="10"/>
    </row>
    <row r="744" spans="1:24" ht="22.5" customHeight="1">
      <c r="A744" s="11"/>
      <c r="B744" s="11"/>
      <c r="C744" s="11"/>
      <c r="D744" s="11"/>
      <c r="E744" s="1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0"/>
      <c r="X744" s="10"/>
    </row>
    <row r="745" spans="1:24" ht="22.5" customHeight="1">
      <c r="A745" s="11"/>
      <c r="B745" s="11"/>
      <c r="C745" s="11"/>
      <c r="D745" s="11"/>
      <c r="E745" s="1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0"/>
      <c r="X745" s="10"/>
    </row>
    <row r="746" spans="1:24" ht="22.5" customHeight="1">
      <c r="A746" s="11"/>
      <c r="B746" s="11"/>
      <c r="C746" s="11"/>
      <c r="D746" s="11"/>
      <c r="E746" s="1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0"/>
      <c r="X746" s="10"/>
    </row>
    <row r="747" spans="1:24" ht="22.5" customHeight="1">
      <c r="A747" s="11"/>
      <c r="B747" s="11"/>
      <c r="C747" s="11"/>
      <c r="D747" s="11"/>
      <c r="E747" s="1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 spans="1:24" ht="22.5" customHeight="1">
      <c r="A748" s="11"/>
      <c r="B748" s="11"/>
      <c r="C748" s="11"/>
      <c r="D748" s="11"/>
      <c r="E748" s="1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 spans="1:24" ht="22.5" customHeight="1">
      <c r="A749" s="11"/>
      <c r="B749" s="11"/>
      <c r="C749" s="11"/>
      <c r="D749" s="11"/>
      <c r="E749" s="1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7"/>
      <c r="X749" s="7"/>
    </row>
    <row r="750" spans="1:24" ht="22.5" customHeight="1">
      <c r="A750" s="11"/>
      <c r="B750" s="11"/>
      <c r="C750" s="11"/>
      <c r="D750" s="11"/>
      <c r="E750" s="1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2"/>
      <c r="X750" s="12"/>
    </row>
    <row r="751" spans="1:24" ht="22.5" customHeight="1">
      <c r="A751" s="11"/>
      <c r="B751" s="11"/>
      <c r="C751" s="11"/>
      <c r="D751" s="11"/>
      <c r="E751" s="1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0"/>
      <c r="X751" s="10"/>
    </row>
    <row r="752" spans="1:24" ht="22.5" customHeight="1">
      <c r="A752" s="11"/>
      <c r="B752" s="11"/>
      <c r="C752" s="11"/>
      <c r="D752" s="11"/>
      <c r="E752" s="1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0"/>
      <c r="X752" s="10"/>
    </row>
    <row r="753" spans="1:24" ht="22.5" customHeight="1">
      <c r="A753" s="11"/>
      <c r="B753" s="11"/>
      <c r="C753" s="11"/>
      <c r="D753" s="11"/>
      <c r="E753" s="1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0"/>
      <c r="X753" s="10"/>
    </row>
    <row r="754" spans="1:24" ht="22.5" customHeight="1">
      <c r="A754" s="11"/>
      <c r="B754" s="11"/>
      <c r="C754" s="11"/>
      <c r="D754" s="11"/>
      <c r="E754" s="1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0"/>
      <c r="X754" s="10"/>
    </row>
    <row r="755" spans="1:24" ht="22.5" customHeight="1">
      <c r="A755" s="11"/>
      <c r="B755" s="11"/>
      <c r="C755" s="11"/>
      <c r="D755" s="11"/>
      <c r="E755" s="1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0"/>
      <c r="X755" s="10"/>
    </row>
    <row r="756" spans="1:24" ht="22.5" customHeight="1">
      <c r="A756" s="11"/>
      <c r="B756" s="11"/>
      <c r="C756" s="11"/>
      <c r="D756" s="11"/>
      <c r="E756" s="1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0"/>
      <c r="X756" s="10"/>
    </row>
    <row r="757" spans="1:24" ht="22.5" customHeight="1">
      <c r="A757" s="11"/>
      <c r="B757" s="11"/>
      <c r="C757" s="11"/>
      <c r="D757" s="11"/>
      <c r="E757" s="1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0"/>
      <c r="X757" s="10"/>
    </row>
    <row r="758" spans="1:24" ht="22.5" customHeight="1">
      <c r="A758" s="11"/>
      <c r="B758" s="11"/>
      <c r="C758" s="11"/>
      <c r="D758" s="11"/>
      <c r="E758" s="1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0"/>
      <c r="X758" s="10"/>
    </row>
    <row r="759" spans="1:24" ht="22.5" customHeight="1">
      <c r="A759" s="11"/>
      <c r="B759" s="11"/>
      <c r="C759" s="11"/>
      <c r="D759" s="11"/>
      <c r="E759" s="1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0"/>
      <c r="X759" s="10"/>
    </row>
    <row r="760" spans="1:24" ht="22.5" customHeight="1">
      <c r="A760" s="11"/>
      <c r="B760" s="11"/>
      <c r="C760" s="11"/>
      <c r="D760" s="11"/>
      <c r="E760" s="1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0"/>
      <c r="X760" s="10"/>
    </row>
    <row r="761" spans="1:24" ht="22.5" customHeight="1">
      <c r="A761" s="11"/>
      <c r="B761" s="11"/>
      <c r="C761" s="11"/>
      <c r="D761" s="11"/>
      <c r="E761" s="1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0"/>
      <c r="X761" s="10"/>
    </row>
    <row r="762" spans="1:24" ht="22.5" customHeight="1">
      <c r="A762" s="11"/>
      <c r="B762" s="11"/>
      <c r="C762" s="11"/>
      <c r="D762" s="11"/>
      <c r="E762" s="1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0"/>
      <c r="X762" s="10"/>
    </row>
    <row r="763" spans="1:24" ht="22.5" customHeight="1">
      <c r="A763" s="11"/>
      <c r="B763" s="11"/>
      <c r="C763" s="11"/>
      <c r="D763" s="11"/>
      <c r="E763" s="1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0"/>
      <c r="X763" s="10"/>
    </row>
    <row r="764" spans="1:24" ht="22.5" customHeight="1">
      <c r="A764" s="11"/>
      <c r="B764" s="11"/>
      <c r="C764" s="11"/>
      <c r="D764" s="11"/>
      <c r="E764" s="1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 spans="1:24" ht="22.5" customHeight="1">
      <c r="A765" s="11"/>
      <c r="B765" s="11"/>
      <c r="C765" s="11"/>
      <c r="D765" s="11"/>
      <c r="E765" s="1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 spans="1:24" ht="22.5" customHeight="1">
      <c r="A766" s="11"/>
      <c r="B766" s="11"/>
      <c r="C766" s="11"/>
      <c r="D766" s="11"/>
      <c r="E766" s="1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7"/>
      <c r="X766" s="7"/>
    </row>
    <row r="767" spans="1:24" ht="22.5" customHeight="1">
      <c r="A767" s="11"/>
      <c r="B767" s="11"/>
      <c r="C767" s="11"/>
      <c r="D767" s="11"/>
      <c r="E767" s="1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2"/>
      <c r="X767" s="12"/>
    </row>
    <row r="768" spans="1:24" ht="22.5" customHeight="1">
      <c r="A768" s="11"/>
      <c r="B768" s="11"/>
      <c r="C768" s="11"/>
      <c r="D768" s="11"/>
      <c r="E768" s="1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0"/>
      <c r="X768" s="10"/>
    </row>
    <row r="769" spans="1:24" ht="22.5" customHeight="1">
      <c r="A769" s="11"/>
      <c r="B769" s="11"/>
      <c r="C769" s="11"/>
      <c r="D769" s="11"/>
      <c r="E769" s="1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0"/>
      <c r="X769" s="10"/>
    </row>
    <row r="770" spans="1:24" ht="22.5" customHeight="1">
      <c r="A770" s="11"/>
      <c r="B770" s="11"/>
      <c r="C770" s="11"/>
      <c r="D770" s="11"/>
      <c r="E770" s="1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0"/>
      <c r="X770" s="10"/>
    </row>
    <row r="771" spans="1:24" ht="22.5" customHeight="1">
      <c r="A771" s="11"/>
      <c r="B771" s="11"/>
      <c r="C771" s="11"/>
      <c r="D771" s="11"/>
      <c r="E771" s="1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0"/>
      <c r="X771" s="10"/>
    </row>
    <row r="772" spans="1:24" ht="22.5" customHeight="1">
      <c r="A772" s="11"/>
      <c r="B772" s="11"/>
      <c r="C772" s="11"/>
      <c r="D772" s="11"/>
      <c r="E772" s="1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0"/>
      <c r="X772" s="10"/>
    </row>
    <row r="773" spans="1:24" ht="22.5" customHeight="1">
      <c r="A773" s="11"/>
      <c r="B773" s="11"/>
      <c r="C773" s="11"/>
      <c r="D773" s="11"/>
      <c r="E773" s="1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0"/>
      <c r="X773" s="10"/>
    </row>
    <row r="774" spans="1:24" ht="22.5" customHeight="1">
      <c r="A774" s="11"/>
      <c r="B774" s="11"/>
      <c r="C774" s="11"/>
      <c r="D774" s="11"/>
      <c r="E774" s="1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0"/>
      <c r="X774" s="10"/>
    </row>
    <row r="775" spans="1:24" ht="22.5" customHeight="1">
      <c r="A775" s="11"/>
      <c r="B775" s="11"/>
      <c r="C775" s="11"/>
      <c r="D775" s="11"/>
      <c r="E775" s="1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0"/>
      <c r="X775" s="10"/>
    </row>
    <row r="776" spans="1:24" ht="22.5" customHeight="1">
      <c r="A776" s="11"/>
      <c r="B776" s="11"/>
      <c r="C776" s="11"/>
      <c r="D776" s="11"/>
      <c r="E776" s="1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0"/>
      <c r="X776" s="10"/>
    </row>
    <row r="777" spans="1:24" ht="22.5" customHeight="1">
      <c r="A777" s="11"/>
      <c r="B777" s="11"/>
      <c r="C777" s="11"/>
      <c r="D777" s="11"/>
      <c r="E777" s="1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0"/>
      <c r="X777" s="10"/>
    </row>
    <row r="778" spans="1:24" ht="22.5" customHeight="1">
      <c r="A778" s="11"/>
      <c r="B778" s="11"/>
      <c r="C778" s="11"/>
      <c r="D778" s="11"/>
      <c r="E778" s="1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0"/>
      <c r="X778" s="10"/>
    </row>
    <row r="779" spans="1:24" ht="22.5" customHeight="1">
      <c r="A779" s="11"/>
      <c r="B779" s="11"/>
      <c r="C779" s="11"/>
      <c r="D779" s="11"/>
      <c r="E779" s="1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0"/>
      <c r="X779" s="10"/>
    </row>
    <row r="780" spans="1:24" ht="22.5" customHeight="1">
      <c r="A780" s="11"/>
      <c r="B780" s="11"/>
      <c r="C780" s="11"/>
      <c r="D780" s="11"/>
      <c r="E780" s="1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0"/>
      <c r="X780" s="10"/>
    </row>
    <row r="781" spans="1:24" ht="22.5" customHeight="1">
      <c r="A781" s="11"/>
      <c r="B781" s="11"/>
      <c r="C781" s="11"/>
      <c r="D781" s="11"/>
      <c r="E781" s="1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 spans="1:24" ht="22.5" customHeight="1">
      <c r="A782" s="11"/>
      <c r="B782" s="11"/>
      <c r="C782" s="11"/>
      <c r="D782" s="11"/>
      <c r="E782" s="13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 spans="1:24" ht="22.5" customHeight="1">
      <c r="A783" s="11"/>
      <c r="B783" s="11"/>
      <c r="C783" s="11"/>
      <c r="D783" s="11"/>
      <c r="E783" s="13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7"/>
      <c r="X783" s="7"/>
    </row>
    <row r="784" spans="1:24" ht="22.5" customHeight="1">
      <c r="A784" s="11"/>
      <c r="B784" s="11"/>
      <c r="C784" s="11"/>
      <c r="D784" s="11"/>
      <c r="E784" s="13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2"/>
      <c r="X784" s="12"/>
    </row>
    <row r="785" spans="1:24" ht="22.5" customHeight="1">
      <c r="A785" s="11"/>
      <c r="B785" s="11"/>
      <c r="C785" s="11"/>
      <c r="D785" s="11"/>
      <c r="E785" s="1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0"/>
      <c r="X785" s="10"/>
    </row>
    <row r="786" spans="1:24" ht="22.5" customHeight="1">
      <c r="A786" s="11"/>
      <c r="B786" s="11"/>
      <c r="C786" s="11"/>
      <c r="D786" s="11"/>
      <c r="E786" s="1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0"/>
      <c r="X786" s="10"/>
    </row>
    <row r="787" spans="1:24" ht="22.5" customHeight="1">
      <c r="A787" s="11"/>
      <c r="B787" s="11"/>
      <c r="C787" s="11"/>
      <c r="D787" s="11"/>
      <c r="E787" s="1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0"/>
      <c r="X787" s="10"/>
    </row>
    <row r="788" spans="1:24" ht="22.5" customHeight="1">
      <c r="A788" s="11"/>
      <c r="B788" s="11"/>
      <c r="C788" s="11"/>
      <c r="D788" s="11"/>
      <c r="E788" s="1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0"/>
      <c r="X788" s="10"/>
    </row>
    <row r="789" spans="1:24" ht="22.5" customHeight="1">
      <c r="A789" s="11"/>
      <c r="B789" s="11"/>
      <c r="C789" s="11"/>
      <c r="D789" s="11"/>
      <c r="E789" s="1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0"/>
      <c r="X789" s="10"/>
    </row>
    <row r="790" spans="1:24" ht="22.5" customHeight="1">
      <c r="A790" s="11"/>
      <c r="B790" s="11"/>
      <c r="C790" s="11"/>
      <c r="D790" s="11"/>
      <c r="E790" s="13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0"/>
      <c r="X790" s="10"/>
    </row>
    <row r="791" spans="1:24" ht="22.5" customHeight="1">
      <c r="A791" s="11"/>
      <c r="B791" s="11"/>
      <c r="C791" s="11"/>
      <c r="D791" s="11"/>
      <c r="E791" s="1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0"/>
      <c r="X791" s="10"/>
    </row>
    <row r="792" spans="1:24" ht="22.5" customHeight="1">
      <c r="A792" s="11"/>
      <c r="B792" s="11"/>
      <c r="C792" s="11"/>
      <c r="D792" s="11"/>
      <c r="E792" s="1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0"/>
      <c r="X792" s="10"/>
    </row>
    <row r="793" spans="1:24" ht="22.5" customHeight="1">
      <c r="A793" s="11"/>
      <c r="B793" s="11"/>
      <c r="C793" s="11"/>
      <c r="D793" s="11"/>
      <c r="E793" s="1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0"/>
      <c r="X793" s="10"/>
    </row>
    <row r="794" spans="1:24" ht="22.5" customHeight="1">
      <c r="A794" s="11"/>
      <c r="B794" s="11"/>
      <c r="C794" s="11"/>
      <c r="D794" s="11"/>
      <c r="E794" s="1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0"/>
      <c r="X794" s="10"/>
    </row>
    <row r="795" spans="1:24" ht="22.5" customHeight="1">
      <c r="A795" s="11"/>
      <c r="B795" s="11"/>
      <c r="C795" s="11"/>
      <c r="D795" s="11"/>
      <c r="E795" s="1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0"/>
      <c r="X795" s="10"/>
    </row>
    <row r="796" spans="1:24" ht="22.5" customHeight="1">
      <c r="A796" s="11"/>
      <c r="B796" s="11"/>
      <c r="C796" s="11"/>
      <c r="D796" s="11"/>
      <c r="E796" s="1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0"/>
      <c r="X796" s="10"/>
    </row>
    <row r="797" spans="1:24" ht="22.5" customHeight="1">
      <c r="A797" s="11"/>
      <c r="B797" s="11"/>
      <c r="C797" s="11"/>
      <c r="D797" s="11"/>
      <c r="E797" s="1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0"/>
      <c r="X797" s="10"/>
    </row>
    <row r="798" spans="1:24" ht="22.5" customHeight="1">
      <c r="A798" s="11"/>
      <c r="B798" s="11"/>
      <c r="C798" s="11"/>
      <c r="D798" s="11"/>
      <c r="E798" s="1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 spans="1:24" ht="22.5" customHeight="1">
      <c r="A799" s="11"/>
      <c r="B799" s="11"/>
      <c r="C799" s="11"/>
      <c r="D799" s="11"/>
      <c r="E799" s="1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 spans="1:24" ht="22.5" customHeight="1">
      <c r="A800" s="11"/>
      <c r="B800" s="11"/>
      <c r="C800" s="11"/>
      <c r="D800" s="11"/>
      <c r="E800" s="1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7"/>
      <c r="X800" s="7"/>
    </row>
    <row r="801" spans="1:24" ht="22.5" customHeight="1">
      <c r="A801" s="11"/>
      <c r="B801" s="11"/>
      <c r="C801" s="11"/>
      <c r="D801" s="11"/>
      <c r="E801" s="1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2"/>
      <c r="X801" s="12"/>
    </row>
    <row r="802" spans="1:24" ht="22.5" customHeight="1">
      <c r="A802" s="11"/>
      <c r="B802" s="11"/>
      <c r="C802" s="11"/>
      <c r="D802" s="11"/>
      <c r="E802" s="1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0"/>
      <c r="X802" s="10"/>
    </row>
    <row r="803" spans="1:24" ht="22.5" customHeight="1">
      <c r="A803" s="11"/>
      <c r="B803" s="11"/>
      <c r="C803" s="11"/>
      <c r="D803" s="11"/>
      <c r="E803" s="1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0"/>
      <c r="X803" s="10"/>
    </row>
    <row r="804" spans="1:24" ht="22.5" customHeight="1">
      <c r="A804" s="11"/>
      <c r="B804" s="11"/>
      <c r="C804" s="11"/>
      <c r="D804" s="11"/>
      <c r="E804" s="1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0"/>
      <c r="X804" s="10"/>
    </row>
    <row r="805" spans="1:24" ht="22.5" customHeight="1">
      <c r="A805" s="11"/>
      <c r="B805" s="11"/>
      <c r="C805" s="11"/>
      <c r="D805" s="11"/>
      <c r="E805" s="1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0"/>
      <c r="X805" s="10"/>
    </row>
    <row r="806" spans="1:24" ht="22.5" customHeight="1">
      <c r="A806" s="11"/>
      <c r="B806" s="11"/>
      <c r="C806" s="11"/>
      <c r="D806" s="11"/>
      <c r="E806" s="1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0"/>
      <c r="X806" s="10"/>
    </row>
    <row r="807" spans="1:24" ht="22.5" customHeight="1">
      <c r="A807" s="11"/>
      <c r="B807" s="11"/>
      <c r="C807" s="11"/>
      <c r="D807" s="11"/>
      <c r="E807" s="1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0"/>
      <c r="X807" s="10"/>
    </row>
    <row r="808" spans="1:24" ht="22.5" customHeight="1">
      <c r="A808" s="11"/>
      <c r="B808" s="11"/>
      <c r="C808" s="11"/>
      <c r="D808" s="11"/>
      <c r="E808" s="1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0"/>
      <c r="X808" s="10"/>
    </row>
    <row r="809" spans="1:24" ht="22.5" customHeight="1">
      <c r="A809" s="11"/>
      <c r="B809" s="11"/>
      <c r="C809" s="11"/>
      <c r="D809" s="11"/>
      <c r="E809" s="13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0"/>
      <c r="X809" s="10"/>
    </row>
    <row r="810" spans="1:24" ht="22.5" customHeight="1">
      <c r="A810" s="11"/>
      <c r="B810" s="11"/>
      <c r="C810" s="11"/>
      <c r="D810" s="11"/>
      <c r="E810" s="1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0"/>
      <c r="X810" s="10"/>
    </row>
    <row r="811" spans="1:24" ht="22.5" customHeight="1">
      <c r="A811" s="11"/>
      <c r="B811" s="11"/>
      <c r="C811" s="11"/>
      <c r="D811" s="11"/>
      <c r="E811" s="1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0"/>
      <c r="X811" s="10"/>
    </row>
    <row r="812" spans="1:24" ht="22.5" customHeight="1">
      <c r="A812" s="11"/>
      <c r="B812" s="11"/>
      <c r="C812" s="11"/>
      <c r="D812" s="11"/>
      <c r="E812" s="1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0"/>
      <c r="X812" s="10"/>
    </row>
    <row r="813" spans="1:24" ht="22.5" customHeight="1">
      <c r="A813" s="11"/>
      <c r="B813" s="11"/>
      <c r="C813" s="11"/>
      <c r="D813" s="11"/>
      <c r="E813" s="1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0"/>
      <c r="X813" s="10"/>
    </row>
    <row r="814" spans="1:24" ht="22.5" customHeight="1">
      <c r="A814" s="11"/>
      <c r="B814" s="11"/>
      <c r="C814" s="11"/>
      <c r="D814" s="11"/>
      <c r="E814" s="1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0"/>
      <c r="X814" s="10"/>
    </row>
    <row r="815" spans="1:24" ht="22.5" customHeight="1">
      <c r="A815" s="11"/>
      <c r="B815" s="11"/>
      <c r="C815" s="11"/>
      <c r="D815" s="11"/>
      <c r="E815" s="1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 spans="1:24" ht="22.5" customHeight="1">
      <c r="A816" s="11"/>
      <c r="B816" s="11"/>
      <c r="C816" s="11"/>
      <c r="D816" s="11"/>
      <c r="E816" s="1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 spans="1:24" ht="22.5" customHeight="1">
      <c r="A817" s="11"/>
      <c r="B817" s="11"/>
      <c r="C817" s="11"/>
      <c r="D817" s="11"/>
      <c r="E817" s="1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7"/>
      <c r="X817" s="7"/>
    </row>
    <row r="818" spans="1:24" ht="22.5" customHeight="1">
      <c r="A818" s="11"/>
      <c r="B818" s="11"/>
      <c r="C818" s="11"/>
      <c r="D818" s="11"/>
      <c r="E818" s="1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2"/>
      <c r="X818" s="12"/>
    </row>
    <row r="819" spans="1:24" ht="22.5" customHeight="1">
      <c r="A819" s="11"/>
      <c r="B819" s="11"/>
      <c r="C819" s="11"/>
      <c r="D819" s="11"/>
      <c r="E819" s="1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0"/>
      <c r="X819" s="10"/>
    </row>
    <row r="820" spans="1:24" ht="22.5" customHeight="1">
      <c r="A820" s="11"/>
      <c r="B820" s="11"/>
      <c r="C820" s="11"/>
      <c r="D820" s="11"/>
      <c r="E820" s="1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0"/>
      <c r="X820" s="10"/>
    </row>
    <row r="821" spans="1:24" ht="22.5" customHeight="1">
      <c r="A821" s="11"/>
      <c r="B821" s="11"/>
      <c r="C821" s="11"/>
      <c r="D821" s="11"/>
      <c r="E821" s="1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0"/>
      <c r="X821" s="10"/>
    </row>
    <row r="822" spans="1:24" ht="22.5" customHeight="1">
      <c r="A822" s="11"/>
      <c r="B822" s="11"/>
      <c r="C822" s="11"/>
      <c r="D822" s="11"/>
      <c r="E822" s="1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0"/>
      <c r="X822" s="10"/>
    </row>
    <row r="823" spans="1:24" ht="22.5" customHeight="1">
      <c r="A823" s="11"/>
      <c r="B823" s="11"/>
      <c r="C823" s="11"/>
      <c r="D823" s="11"/>
      <c r="E823" s="1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0"/>
      <c r="X823" s="10"/>
    </row>
    <row r="824" spans="1:24" ht="22.5" customHeight="1">
      <c r="A824" s="11"/>
      <c r="B824" s="11"/>
      <c r="C824" s="11"/>
      <c r="D824" s="11"/>
      <c r="E824" s="1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0"/>
      <c r="X824" s="10"/>
    </row>
    <row r="825" spans="1:24" ht="22.5" customHeight="1">
      <c r="A825" s="11"/>
      <c r="B825" s="11"/>
      <c r="C825" s="11"/>
      <c r="D825" s="11"/>
      <c r="E825" s="1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0"/>
      <c r="X825" s="10"/>
    </row>
    <row r="826" spans="1:24" ht="22.5" customHeight="1">
      <c r="A826" s="11"/>
      <c r="B826" s="11"/>
      <c r="C826" s="11"/>
      <c r="D826" s="11"/>
      <c r="E826" s="1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0"/>
      <c r="X826" s="10"/>
    </row>
    <row r="827" spans="1:24" ht="22.5" customHeight="1">
      <c r="A827" s="11"/>
      <c r="B827" s="11"/>
      <c r="C827" s="11"/>
      <c r="D827" s="11"/>
      <c r="E827" s="1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0"/>
      <c r="X827" s="10"/>
    </row>
    <row r="828" spans="1:24" ht="22.5" customHeight="1">
      <c r="A828" s="11"/>
      <c r="B828" s="11"/>
      <c r="C828" s="11"/>
      <c r="D828" s="11"/>
      <c r="E828" s="1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0"/>
      <c r="X828" s="10"/>
    </row>
    <row r="829" spans="1:24" ht="22.5" customHeight="1">
      <c r="A829" s="11"/>
      <c r="B829" s="11"/>
      <c r="C829" s="11"/>
      <c r="D829" s="11"/>
      <c r="E829" s="1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0"/>
      <c r="X829" s="10"/>
    </row>
    <row r="830" spans="1:24" ht="22.5" customHeight="1">
      <c r="A830" s="11"/>
      <c r="B830" s="11"/>
      <c r="C830" s="11"/>
      <c r="D830" s="11"/>
      <c r="E830" s="1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0"/>
      <c r="X830" s="10"/>
    </row>
    <row r="831" spans="1:24" ht="22.5" customHeight="1">
      <c r="A831" s="11"/>
      <c r="B831" s="11"/>
      <c r="C831" s="11"/>
      <c r="D831" s="11"/>
      <c r="E831" s="13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0"/>
      <c r="X831" s="10"/>
    </row>
    <row r="832" spans="1:24" ht="22.5" customHeight="1">
      <c r="A832" s="11"/>
      <c r="B832" s="11"/>
      <c r="C832" s="11"/>
      <c r="D832" s="11"/>
      <c r="E832" s="13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 spans="1:24" ht="22.5" customHeight="1">
      <c r="A833" s="11"/>
      <c r="B833" s="11"/>
      <c r="C833" s="11"/>
      <c r="D833" s="11"/>
      <c r="E833" s="13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 spans="1:24" ht="22.5" customHeight="1">
      <c r="A834" s="11"/>
      <c r="B834" s="11"/>
      <c r="C834" s="11"/>
      <c r="D834" s="11"/>
      <c r="E834" s="13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7"/>
      <c r="X834" s="7"/>
    </row>
    <row r="835" spans="1:24" ht="22.5" customHeight="1">
      <c r="A835" s="11"/>
      <c r="B835" s="11"/>
      <c r="C835" s="11"/>
      <c r="D835" s="11"/>
      <c r="E835" s="13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2"/>
      <c r="X835" s="12"/>
    </row>
    <row r="836" spans="1:24" ht="22.5" customHeight="1">
      <c r="A836" s="11"/>
      <c r="B836" s="11"/>
      <c r="C836" s="11"/>
      <c r="D836" s="11"/>
      <c r="E836" s="13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0"/>
      <c r="X836" s="10"/>
    </row>
    <row r="837" spans="1:24" ht="22.5" customHeight="1">
      <c r="A837" s="11"/>
      <c r="B837" s="11"/>
      <c r="C837" s="11"/>
      <c r="D837" s="11"/>
      <c r="E837" s="13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0"/>
      <c r="X837" s="10"/>
    </row>
    <row r="838" spans="1:24" ht="22.5" customHeight="1">
      <c r="A838" s="11"/>
      <c r="B838" s="11"/>
      <c r="C838" s="11"/>
      <c r="D838" s="11"/>
      <c r="E838" s="13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0"/>
      <c r="X838" s="10"/>
    </row>
    <row r="839" spans="1:24" ht="22.5" customHeight="1">
      <c r="A839" s="11"/>
      <c r="B839" s="11"/>
      <c r="C839" s="11"/>
      <c r="D839" s="11"/>
      <c r="E839" s="13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0"/>
      <c r="X839" s="10"/>
    </row>
    <row r="840" spans="1:24" ht="22.5" customHeight="1">
      <c r="A840" s="11"/>
      <c r="B840" s="11"/>
      <c r="C840" s="11"/>
      <c r="D840" s="11"/>
      <c r="E840" s="13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0"/>
      <c r="X840" s="10"/>
    </row>
    <row r="841" spans="1:24" ht="22.5" customHeight="1">
      <c r="A841" s="11"/>
      <c r="B841" s="11"/>
      <c r="C841" s="11"/>
      <c r="D841" s="11"/>
      <c r="E841" s="13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0"/>
      <c r="X841" s="10"/>
    </row>
    <row r="842" spans="1:24" ht="22.5" customHeight="1">
      <c r="A842" s="11"/>
      <c r="B842" s="11"/>
      <c r="C842" s="11"/>
      <c r="D842" s="11"/>
      <c r="E842" s="13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0"/>
      <c r="X842" s="10"/>
    </row>
    <row r="843" spans="1:24" ht="22.5" customHeight="1">
      <c r="A843" s="11"/>
      <c r="B843" s="11"/>
      <c r="C843" s="11"/>
      <c r="D843" s="11"/>
      <c r="E843" s="13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0"/>
      <c r="X843" s="10"/>
    </row>
    <row r="844" spans="1:24" ht="22.5" customHeight="1">
      <c r="A844" s="11"/>
      <c r="B844" s="11"/>
      <c r="C844" s="11"/>
      <c r="D844" s="11"/>
      <c r="E844" s="13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0"/>
      <c r="X844" s="10"/>
    </row>
    <row r="845" spans="1:24" ht="22.5" customHeight="1">
      <c r="A845" s="11"/>
      <c r="B845" s="11"/>
      <c r="C845" s="11"/>
      <c r="D845" s="11"/>
      <c r="E845" s="1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0"/>
      <c r="X845" s="10"/>
    </row>
    <row r="846" spans="1:24" ht="22.5" customHeight="1">
      <c r="A846" s="11"/>
      <c r="B846" s="11"/>
      <c r="C846" s="11"/>
      <c r="D846" s="11"/>
      <c r="E846" s="1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0"/>
      <c r="X846" s="10"/>
    </row>
    <row r="847" spans="1:24" ht="22.5" customHeight="1">
      <c r="A847" s="11"/>
      <c r="B847" s="11"/>
      <c r="C847" s="11"/>
      <c r="D847" s="11"/>
      <c r="E847" s="1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0"/>
      <c r="X847" s="10"/>
    </row>
    <row r="848" spans="1:24" ht="22.5" customHeight="1">
      <c r="A848" s="11"/>
      <c r="B848" s="11"/>
      <c r="C848" s="11"/>
      <c r="D848" s="11"/>
      <c r="E848" s="1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0"/>
      <c r="X848" s="10"/>
    </row>
    <row r="849" spans="1:24" ht="22.5" customHeight="1">
      <c r="A849" s="11"/>
      <c r="B849" s="11"/>
      <c r="C849" s="11"/>
      <c r="D849" s="11"/>
      <c r="E849" s="1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 spans="1:24" ht="22.5" customHeight="1">
      <c r="A850" s="11"/>
      <c r="B850" s="11"/>
      <c r="C850" s="11"/>
      <c r="D850" s="11"/>
      <c r="E850" s="1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 spans="1:24" ht="22.5" customHeight="1">
      <c r="A851" s="11"/>
      <c r="B851" s="11"/>
      <c r="C851" s="11"/>
      <c r="D851" s="11"/>
      <c r="E851" s="13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7"/>
      <c r="X851" s="7"/>
    </row>
    <row r="852" spans="1:24" ht="22.5" customHeight="1">
      <c r="A852" s="11"/>
      <c r="B852" s="11"/>
      <c r="C852" s="11"/>
      <c r="D852" s="11"/>
      <c r="E852" s="13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2"/>
      <c r="X852" s="12"/>
    </row>
    <row r="853" spans="1:24" ht="22.5" customHeight="1">
      <c r="A853" s="11"/>
      <c r="B853" s="11"/>
      <c r="C853" s="11"/>
      <c r="D853" s="11"/>
      <c r="E853" s="1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0"/>
      <c r="X853" s="10"/>
    </row>
    <row r="854" spans="1:24" ht="22.5" customHeight="1">
      <c r="A854" s="11"/>
      <c r="B854" s="11"/>
      <c r="C854" s="11"/>
      <c r="D854" s="11"/>
      <c r="E854" s="1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0"/>
      <c r="X854" s="10"/>
    </row>
    <row r="855" spans="1:24" ht="22.5" customHeight="1">
      <c r="A855" s="11"/>
      <c r="B855" s="11"/>
      <c r="C855" s="11"/>
      <c r="D855" s="11"/>
      <c r="E855" s="1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0"/>
      <c r="X855" s="10"/>
    </row>
    <row r="856" spans="1:24" ht="22.5" customHeight="1">
      <c r="A856" s="11"/>
      <c r="B856" s="11"/>
      <c r="C856" s="11"/>
      <c r="D856" s="11"/>
      <c r="E856" s="1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0"/>
      <c r="X856" s="10"/>
    </row>
    <row r="857" spans="1:24" ht="22.5" customHeight="1">
      <c r="A857" s="11"/>
      <c r="B857" s="11"/>
      <c r="C857" s="11"/>
      <c r="D857" s="11"/>
      <c r="E857" s="1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0"/>
      <c r="X857" s="10"/>
    </row>
    <row r="858" spans="1:24" ht="22.5" customHeight="1">
      <c r="A858" s="11"/>
      <c r="B858" s="11"/>
      <c r="C858" s="11"/>
      <c r="D858" s="11"/>
      <c r="E858" s="1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0"/>
      <c r="X858" s="10"/>
    </row>
    <row r="859" spans="1:24" ht="22.5" customHeight="1">
      <c r="A859" s="11"/>
      <c r="B859" s="11"/>
      <c r="C859" s="11"/>
      <c r="D859" s="11"/>
      <c r="E859" s="1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0"/>
      <c r="X859" s="10"/>
    </row>
    <row r="860" spans="1:24" ht="22.5" customHeight="1">
      <c r="A860" s="11"/>
      <c r="B860" s="11"/>
      <c r="C860" s="11"/>
      <c r="D860" s="11"/>
      <c r="E860" s="1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0"/>
      <c r="X860" s="10"/>
    </row>
    <row r="861" spans="1:24" ht="22.5" customHeight="1">
      <c r="A861" s="11"/>
      <c r="B861" s="11"/>
      <c r="C861" s="11"/>
      <c r="D861" s="11"/>
      <c r="E861" s="1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0"/>
      <c r="X861" s="10"/>
    </row>
    <row r="862" spans="1:24" ht="22.5" customHeight="1">
      <c r="A862" s="11"/>
      <c r="B862" s="11"/>
      <c r="C862" s="11"/>
      <c r="D862" s="11"/>
      <c r="E862" s="13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0"/>
      <c r="X862" s="10"/>
    </row>
    <row r="863" spans="1:24" ht="22.5" customHeight="1">
      <c r="A863" s="11"/>
      <c r="B863" s="11"/>
      <c r="C863" s="11"/>
      <c r="D863" s="11"/>
      <c r="E863" s="13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0"/>
      <c r="X863" s="10"/>
    </row>
    <row r="864" spans="1:24" ht="22.5" customHeight="1">
      <c r="A864" s="11"/>
      <c r="B864" s="11"/>
      <c r="C864" s="11"/>
      <c r="D864" s="11"/>
      <c r="E864" s="13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0"/>
      <c r="X864" s="10"/>
    </row>
    <row r="865" spans="1:24" ht="22.5" customHeight="1">
      <c r="A865" s="11"/>
      <c r="B865" s="11"/>
      <c r="C865" s="11"/>
      <c r="D865" s="11"/>
      <c r="E865" s="13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0"/>
      <c r="X865" s="10"/>
    </row>
    <row r="866" spans="1:24" ht="22.5" customHeight="1">
      <c r="A866" s="11"/>
      <c r="B866" s="11"/>
      <c r="C866" s="11"/>
      <c r="D866" s="11"/>
      <c r="E866" s="13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 spans="1:24" ht="22.5" customHeight="1">
      <c r="A867" s="11"/>
      <c r="B867" s="11"/>
      <c r="C867" s="11"/>
      <c r="D867" s="11"/>
      <c r="E867" s="13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 spans="1:24" ht="22.5" customHeight="1">
      <c r="A868" s="11"/>
      <c r="B868" s="11"/>
      <c r="C868" s="11"/>
      <c r="D868" s="11"/>
      <c r="E868" s="13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7"/>
      <c r="X868" s="7"/>
    </row>
    <row r="869" spans="1:24" ht="22.5" customHeight="1">
      <c r="A869" s="11"/>
      <c r="B869" s="11"/>
      <c r="C869" s="11"/>
      <c r="D869" s="11"/>
      <c r="E869" s="13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2"/>
      <c r="X869" s="12"/>
    </row>
    <row r="870" spans="1:24" ht="22.5" customHeight="1">
      <c r="A870" s="11"/>
      <c r="B870" s="11"/>
      <c r="C870" s="11"/>
      <c r="D870" s="11"/>
      <c r="E870" s="1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0"/>
      <c r="X870" s="10"/>
    </row>
    <row r="871" spans="1:24" ht="22.5" customHeight="1">
      <c r="A871" s="11"/>
      <c r="B871" s="11"/>
      <c r="C871" s="11"/>
      <c r="D871" s="11"/>
      <c r="E871" s="1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0"/>
      <c r="X871" s="10"/>
    </row>
    <row r="872" spans="1:24" ht="22.5" customHeight="1">
      <c r="A872" s="11"/>
      <c r="B872" s="11"/>
      <c r="C872" s="11"/>
      <c r="D872" s="11"/>
      <c r="E872" s="1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0"/>
      <c r="X872" s="10"/>
    </row>
    <row r="873" spans="1:24" ht="22.5" customHeight="1">
      <c r="A873" s="11"/>
      <c r="B873" s="11"/>
      <c r="C873" s="11"/>
      <c r="D873" s="11"/>
      <c r="E873" s="1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0"/>
      <c r="X873" s="10"/>
    </row>
    <row r="874" spans="1:24" ht="22.5" customHeight="1">
      <c r="A874" s="11"/>
      <c r="B874" s="11"/>
      <c r="C874" s="11"/>
      <c r="D874" s="11"/>
      <c r="E874" s="13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0"/>
      <c r="X874" s="10"/>
    </row>
    <row r="875" spans="1:24" ht="22.5" customHeight="1">
      <c r="A875" s="11"/>
      <c r="B875" s="11"/>
      <c r="C875" s="11"/>
      <c r="D875" s="11"/>
      <c r="E875" s="13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0"/>
      <c r="X875" s="10"/>
    </row>
    <row r="876" spans="1:24" ht="22.5" customHeight="1">
      <c r="A876" s="11"/>
      <c r="B876" s="11"/>
      <c r="C876" s="11"/>
      <c r="D876" s="11"/>
      <c r="E876" s="13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0"/>
      <c r="X876" s="10"/>
    </row>
    <row r="877" spans="1:24" ht="22.5" customHeight="1">
      <c r="A877" s="11"/>
      <c r="B877" s="11"/>
      <c r="C877" s="11"/>
      <c r="D877" s="11"/>
      <c r="E877" s="13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0"/>
      <c r="X877" s="10"/>
    </row>
    <row r="878" spans="1:24" ht="22.5" customHeight="1">
      <c r="A878" s="11"/>
      <c r="B878" s="11"/>
      <c r="C878" s="11"/>
      <c r="D878" s="11"/>
      <c r="E878" s="13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/>
      <c r="X878" s="10"/>
    </row>
    <row r="879" spans="1:24" ht="22.5" customHeight="1">
      <c r="A879" s="11"/>
      <c r="B879" s="11"/>
      <c r="C879" s="11"/>
      <c r="D879" s="11"/>
      <c r="E879" s="13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0"/>
      <c r="X879" s="10"/>
    </row>
    <row r="880" spans="1:24" ht="22.5" customHeight="1">
      <c r="A880" s="11"/>
      <c r="B880" s="11"/>
      <c r="C880" s="11"/>
      <c r="D880" s="11"/>
      <c r="E880" s="13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0"/>
      <c r="X880" s="10"/>
    </row>
    <row r="881" spans="1:24" ht="22.5" customHeight="1">
      <c r="A881" s="11"/>
      <c r="B881" s="11"/>
      <c r="C881" s="11"/>
      <c r="D881" s="11"/>
      <c r="E881" s="13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0"/>
      <c r="X881" s="10"/>
    </row>
    <row r="882" spans="1:24" ht="22.5" customHeight="1">
      <c r="A882" s="11"/>
      <c r="B882" s="11"/>
      <c r="C882" s="11"/>
      <c r="D882" s="11"/>
      <c r="E882" s="13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0"/>
      <c r="X882" s="10"/>
    </row>
    <row r="883" spans="1:24" ht="22.5" customHeight="1">
      <c r="A883" s="11"/>
      <c r="B883" s="11"/>
      <c r="C883" s="11"/>
      <c r="D883" s="11"/>
      <c r="E883" s="13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 spans="1:24" ht="22.5" customHeight="1">
      <c r="A884" s="11"/>
      <c r="B884" s="11"/>
      <c r="C884" s="11"/>
      <c r="D884" s="11"/>
      <c r="E884" s="1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 spans="1:24" ht="22.5" customHeight="1">
      <c r="A885" s="11"/>
      <c r="B885" s="11"/>
      <c r="C885" s="11"/>
      <c r="D885" s="11"/>
      <c r="E885" s="1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7"/>
      <c r="X885" s="7"/>
    </row>
    <row r="886" spans="1:24" ht="22.5" customHeight="1">
      <c r="A886" s="11"/>
      <c r="B886" s="11"/>
      <c r="C886" s="11"/>
      <c r="D886" s="11"/>
      <c r="E886" s="1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2"/>
      <c r="X886" s="12"/>
    </row>
    <row r="887" spans="1:24" ht="22.5" customHeight="1">
      <c r="A887" s="11"/>
      <c r="B887" s="11"/>
      <c r="C887" s="11"/>
      <c r="D887" s="11"/>
      <c r="E887" s="1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0"/>
      <c r="X887" s="10"/>
    </row>
    <row r="888" spans="1:24" ht="22.5" customHeight="1">
      <c r="A888" s="11"/>
      <c r="B888" s="11"/>
      <c r="C888" s="11"/>
      <c r="D888" s="11"/>
      <c r="E888" s="1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0"/>
      <c r="X888" s="10"/>
    </row>
    <row r="889" spans="1:24" ht="22.5" customHeight="1">
      <c r="A889" s="11"/>
      <c r="B889" s="11"/>
      <c r="C889" s="11"/>
      <c r="D889" s="11"/>
      <c r="E889" s="13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0"/>
      <c r="X889" s="10"/>
    </row>
    <row r="890" spans="1:24" ht="22.5" customHeight="1">
      <c r="A890" s="11"/>
      <c r="B890" s="11"/>
      <c r="C890" s="11"/>
      <c r="D890" s="11"/>
      <c r="E890" s="1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0"/>
      <c r="X890" s="10"/>
    </row>
    <row r="891" spans="1:24" ht="22.5" customHeight="1">
      <c r="A891" s="11"/>
      <c r="B891" s="11"/>
      <c r="C891" s="11"/>
      <c r="D891" s="11"/>
      <c r="E891" s="13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0"/>
      <c r="X891" s="10"/>
    </row>
    <row r="892" spans="1:24" ht="22.5" customHeight="1">
      <c r="A892" s="11"/>
      <c r="B892" s="11"/>
      <c r="C892" s="11"/>
      <c r="D892" s="11"/>
      <c r="E892" s="13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0"/>
      <c r="X892" s="10"/>
    </row>
    <row r="893" spans="1:24" ht="22.5" customHeight="1">
      <c r="A893" s="11"/>
      <c r="B893" s="11"/>
      <c r="C893" s="11"/>
      <c r="D893" s="11"/>
      <c r="E893" s="13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0"/>
      <c r="X893" s="10"/>
    </row>
    <row r="894" spans="1:24" ht="22.5" customHeight="1">
      <c r="A894" s="11"/>
      <c r="B894" s="11"/>
      <c r="C894" s="11"/>
      <c r="D894" s="11"/>
      <c r="E894" s="13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0"/>
      <c r="X894" s="10"/>
    </row>
    <row r="895" spans="1:24" ht="22.5" customHeight="1">
      <c r="A895" s="11"/>
      <c r="B895" s="11"/>
      <c r="C895" s="11"/>
      <c r="D895" s="11"/>
      <c r="E895" s="13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0"/>
      <c r="X895" s="10"/>
    </row>
    <row r="896" spans="1:24" ht="22.5" customHeight="1">
      <c r="A896" s="11"/>
      <c r="B896" s="11"/>
      <c r="C896" s="11"/>
      <c r="D896" s="11"/>
      <c r="E896" s="13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0"/>
      <c r="X896" s="10"/>
    </row>
    <row r="897" spans="1:24" ht="22.5" customHeight="1">
      <c r="A897" s="11"/>
      <c r="B897" s="11"/>
      <c r="C897" s="11"/>
      <c r="D897" s="11"/>
      <c r="E897" s="1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0"/>
      <c r="X897" s="10"/>
    </row>
    <row r="898" spans="1:24" ht="22.5" customHeight="1">
      <c r="A898" s="11"/>
      <c r="B898" s="11"/>
      <c r="C898" s="11"/>
      <c r="D898" s="11"/>
      <c r="E898" s="1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0"/>
      <c r="X898" s="10"/>
    </row>
    <row r="899" spans="1:24" ht="22.5" customHeight="1">
      <c r="A899" s="11"/>
      <c r="B899" s="11"/>
      <c r="C899" s="11"/>
      <c r="D899" s="11"/>
      <c r="E899" s="1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0"/>
      <c r="X899" s="10"/>
    </row>
    <row r="900" spans="1:24" ht="22.5" customHeight="1">
      <c r="A900" s="11"/>
      <c r="B900" s="11"/>
      <c r="C900" s="11"/>
      <c r="D900" s="11"/>
      <c r="E900" s="1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 spans="1:24" ht="22.5" customHeight="1">
      <c r="A901" s="11"/>
      <c r="B901" s="11"/>
      <c r="C901" s="11"/>
      <c r="D901" s="11"/>
      <c r="E901" s="13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 spans="1:24" ht="22.5" customHeight="1">
      <c r="A902" s="11"/>
      <c r="B902" s="11"/>
      <c r="C902" s="11"/>
      <c r="D902" s="11"/>
      <c r="E902" s="13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7"/>
      <c r="X902" s="7"/>
    </row>
    <row r="903" spans="1:24" ht="22.5" customHeight="1">
      <c r="A903" s="11"/>
      <c r="B903" s="11"/>
      <c r="C903" s="11"/>
      <c r="D903" s="11"/>
      <c r="E903" s="13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2"/>
      <c r="X903" s="12"/>
    </row>
    <row r="904" spans="1:24" ht="22.5" customHeight="1">
      <c r="A904" s="11"/>
      <c r="B904" s="11"/>
      <c r="C904" s="11"/>
      <c r="D904" s="11"/>
      <c r="E904" s="13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0"/>
      <c r="X904" s="10"/>
    </row>
    <row r="905" spans="1:24" ht="22.5" customHeight="1">
      <c r="A905" s="11"/>
      <c r="B905" s="11"/>
      <c r="C905" s="11"/>
      <c r="D905" s="11"/>
      <c r="E905" s="13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0"/>
      <c r="X905" s="10"/>
    </row>
    <row r="906" spans="1:24" ht="22.5" customHeight="1">
      <c r="A906" s="11"/>
      <c r="B906" s="11"/>
      <c r="C906" s="11"/>
      <c r="D906" s="11"/>
      <c r="E906" s="13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0"/>
      <c r="X906" s="10"/>
    </row>
    <row r="907" spans="1:24" ht="22.5" customHeight="1">
      <c r="A907" s="11"/>
      <c r="B907" s="11"/>
      <c r="C907" s="11"/>
      <c r="D907" s="11"/>
      <c r="E907" s="13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0"/>
      <c r="X907" s="10"/>
    </row>
    <row r="908" spans="1:24" ht="22.5" customHeight="1">
      <c r="A908" s="11"/>
      <c r="B908" s="11"/>
      <c r="C908" s="11"/>
      <c r="D908" s="11"/>
      <c r="E908" s="1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0"/>
      <c r="X908" s="10"/>
    </row>
    <row r="909" spans="1:24" ht="22.5" customHeight="1">
      <c r="A909" s="11"/>
      <c r="B909" s="11"/>
      <c r="C909" s="11"/>
      <c r="D909" s="11"/>
      <c r="E909" s="1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0"/>
      <c r="X909" s="10"/>
    </row>
    <row r="910" spans="1:24" ht="22.5" customHeight="1">
      <c r="A910" s="11"/>
      <c r="B910" s="11"/>
      <c r="C910" s="11"/>
      <c r="D910" s="11"/>
      <c r="E910" s="1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0"/>
      <c r="X910" s="10"/>
    </row>
    <row r="911" spans="1:24" ht="22.5" customHeight="1">
      <c r="A911" s="11"/>
      <c r="B911" s="11"/>
      <c r="C911" s="11"/>
      <c r="D911" s="11"/>
      <c r="E911" s="1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0"/>
      <c r="X911" s="10"/>
    </row>
    <row r="912" spans="1:24" ht="22.5" customHeight="1">
      <c r="A912" s="11"/>
      <c r="B912" s="11"/>
      <c r="C912" s="11"/>
      <c r="D912" s="11"/>
      <c r="E912" s="13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0"/>
      <c r="X912" s="10"/>
    </row>
    <row r="913" spans="1:24" ht="22.5" customHeight="1">
      <c r="A913" s="11"/>
      <c r="B913" s="11"/>
      <c r="C913" s="11"/>
      <c r="D913" s="11"/>
      <c r="E913" s="13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0"/>
      <c r="X913" s="10"/>
    </row>
    <row r="914" spans="1:24" ht="22.5" customHeight="1">
      <c r="A914" s="11"/>
      <c r="B914" s="11"/>
      <c r="C914" s="11"/>
      <c r="D914" s="11"/>
      <c r="E914" s="13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0"/>
      <c r="X914" s="10"/>
    </row>
    <row r="915" spans="1:24" ht="22.5" customHeight="1">
      <c r="A915" s="11"/>
      <c r="B915" s="11"/>
      <c r="C915" s="11"/>
      <c r="D915" s="11"/>
      <c r="E915" s="13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0"/>
      <c r="X915" s="10"/>
    </row>
    <row r="916" spans="1:24" ht="22.5" customHeight="1">
      <c r="A916" s="11"/>
      <c r="B916" s="11"/>
      <c r="C916" s="11"/>
      <c r="D916" s="11"/>
      <c r="E916" s="13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0"/>
      <c r="X916" s="10"/>
    </row>
    <row r="917" spans="1:24" ht="22.5" customHeight="1">
      <c r="A917" s="11"/>
      <c r="B917" s="11"/>
      <c r="C917" s="11"/>
      <c r="D917" s="11"/>
      <c r="E917" s="13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 spans="1:24" ht="22.5" customHeight="1">
      <c r="A918" s="11"/>
      <c r="B918" s="11"/>
      <c r="C918" s="11"/>
      <c r="D918" s="11"/>
      <c r="E918" s="13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 spans="1:24" ht="22.5" customHeight="1">
      <c r="A919" s="11"/>
      <c r="B919" s="11"/>
      <c r="C919" s="11"/>
      <c r="D919" s="11"/>
      <c r="E919" s="13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7"/>
      <c r="X919" s="7"/>
    </row>
    <row r="920" spans="1:24" ht="22.5" customHeight="1">
      <c r="A920" s="11"/>
      <c r="B920" s="11"/>
      <c r="C920" s="11"/>
      <c r="D920" s="11"/>
      <c r="E920" s="13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2"/>
      <c r="X920" s="12"/>
    </row>
    <row r="921" spans="1:24" ht="22.5" customHeight="1">
      <c r="A921" s="11"/>
      <c r="B921" s="11"/>
      <c r="C921" s="11"/>
      <c r="D921" s="11"/>
      <c r="E921" s="13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0"/>
      <c r="X921" s="10"/>
    </row>
    <row r="922" spans="1:24" ht="22.5" customHeight="1">
      <c r="A922" s="11"/>
      <c r="B922" s="11"/>
      <c r="C922" s="11"/>
      <c r="D922" s="11"/>
      <c r="E922" s="13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0"/>
      <c r="X922" s="10"/>
    </row>
    <row r="923" spans="1:24" ht="22.5" customHeight="1">
      <c r="A923" s="11"/>
      <c r="B923" s="11"/>
      <c r="C923" s="11"/>
      <c r="D923" s="11"/>
      <c r="E923" s="13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0"/>
      <c r="X923" s="10"/>
    </row>
    <row r="924" spans="1:24" ht="22.5" customHeight="1">
      <c r="A924" s="11"/>
      <c r="B924" s="11"/>
      <c r="C924" s="11"/>
      <c r="D924" s="11"/>
      <c r="E924" s="13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0"/>
      <c r="X924" s="10"/>
    </row>
    <row r="925" spans="1:24" ht="22.5" customHeight="1">
      <c r="A925" s="11"/>
      <c r="B925" s="11"/>
      <c r="C925" s="11"/>
      <c r="D925" s="11"/>
      <c r="E925" s="1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0"/>
      <c r="X925" s="10"/>
    </row>
    <row r="926" spans="1:24" ht="22.5" customHeight="1">
      <c r="A926" s="11"/>
      <c r="B926" s="11"/>
      <c r="C926" s="11"/>
      <c r="D926" s="11"/>
      <c r="E926" s="13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0"/>
      <c r="X926" s="10"/>
    </row>
    <row r="927" spans="1:24" ht="22.5" customHeight="1">
      <c r="A927" s="11"/>
      <c r="B927" s="11"/>
      <c r="C927" s="11"/>
      <c r="D927" s="11"/>
      <c r="E927" s="13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0"/>
      <c r="X927" s="10"/>
    </row>
    <row r="928" spans="1:24" ht="22.5" customHeight="1">
      <c r="A928" s="11"/>
      <c r="B928" s="11"/>
      <c r="C928" s="11"/>
      <c r="D928" s="11"/>
      <c r="E928" s="13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0"/>
      <c r="X928" s="10"/>
    </row>
    <row r="929" spans="1:24" ht="22.5" customHeight="1">
      <c r="A929" s="11"/>
      <c r="B929" s="11"/>
      <c r="C929" s="11"/>
      <c r="D929" s="11"/>
      <c r="E929" s="13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0"/>
      <c r="X929" s="10"/>
    </row>
    <row r="930" spans="1:24" ht="22.5" customHeight="1">
      <c r="A930" s="11"/>
      <c r="B930" s="11"/>
      <c r="C930" s="11"/>
      <c r="D930" s="11"/>
      <c r="E930" s="13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0"/>
      <c r="X930" s="10"/>
    </row>
    <row r="931" spans="1:24" ht="22.5" customHeight="1">
      <c r="A931" s="11"/>
      <c r="B931" s="11"/>
      <c r="C931" s="11"/>
      <c r="D931" s="11"/>
      <c r="E931" s="1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0"/>
      <c r="X931" s="10"/>
    </row>
    <row r="932" spans="1:24" ht="22.5" customHeight="1">
      <c r="A932" s="11"/>
      <c r="B932" s="11"/>
      <c r="C932" s="11"/>
      <c r="D932" s="11"/>
      <c r="E932" s="1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0"/>
      <c r="X932" s="10"/>
    </row>
    <row r="933" spans="1:24" ht="22.5" customHeight="1">
      <c r="A933" s="11"/>
      <c r="B933" s="11"/>
      <c r="C933" s="11"/>
      <c r="D933" s="11"/>
      <c r="E933" s="1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0"/>
      <c r="X933" s="10"/>
    </row>
    <row r="934" spans="1:24" ht="22.5" customHeight="1">
      <c r="A934" s="11"/>
      <c r="B934" s="11"/>
      <c r="C934" s="11"/>
      <c r="D934" s="11"/>
      <c r="E934" s="13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 spans="1:24" ht="22.5" customHeight="1">
      <c r="A935" s="11"/>
      <c r="B935" s="11"/>
      <c r="C935" s="11"/>
      <c r="D935" s="11"/>
      <c r="E935" s="13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 spans="1:24" ht="22.5" customHeight="1">
      <c r="A936" s="11"/>
      <c r="B936" s="11"/>
      <c r="C936" s="11"/>
      <c r="D936" s="11"/>
      <c r="E936" s="13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7"/>
      <c r="X936" s="7"/>
    </row>
    <row r="937" spans="1:24" ht="22.5" customHeight="1">
      <c r="A937" s="11"/>
      <c r="B937" s="11"/>
      <c r="C937" s="11"/>
      <c r="D937" s="11"/>
      <c r="E937" s="13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2"/>
      <c r="X937" s="12"/>
    </row>
    <row r="938" spans="1:24" ht="22.5" customHeight="1">
      <c r="A938" s="11"/>
      <c r="B938" s="11"/>
      <c r="C938" s="11"/>
      <c r="D938" s="11"/>
      <c r="E938" s="13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0"/>
      <c r="X938" s="10"/>
    </row>
    <row r="939" spans="1:24" ht="22.5" customHeight="1">
      <c r="A939" s="11"/>
      <c r="B939" s="11"/>
      <c r="C939" s="11"/>
      <c r="D939" s="11"/>
      <c r="E939" s="13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0"/>
      <c r="X939" s="10"/>
    </row>
    <row r="940" spans="1:24" ht="22.5" customHeight="1">
      <c r="A940" s="11"/>
      <c r="B940" s="11"/>
      <c r="C940" s="11"/>
      <c r="D940" s="11"/>
      <c r="E940" s="13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0"/>
      <c r="X940" s="10"/>
    </row>
    <row r="941" spans="1:24" ht="22.5" customHeight="1">
      <c r="A941" s="11"/>
      <c r="B941" s="11"/>
      <c r="C941" s="11"/>
      <c r="D941" s="11"/>
      <c r="E941" s="13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0"/>
      <c r="X941" s="10"/>
    </row>
    <row r="942" spans="1:24" ht="22.5" customHeight="1">
      <c r="A942" s="11"/>
      <c r="B942" s="11"/>
      <c r="C942" s="11"/>
      <c r="D942" s="11"/>
      <c r="E942" s="13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0"/>
      <c r="X942" s="10"/>
    </row>
    <row r="943" spans="1:24" ht="22.5" customHeight="1">
      <c r="A943" s="11"/>
      <c r="B943" s="11"/>
      <c r="C943" s="11"/>
      <c r="D943" s="11"/>
      <c r="E943" s="13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0"/>
      <c r="X943" s="10"/>
    </row>
    <row r="944" spans="1:24" ht="22.5" customHeight="1">
      <c r="A944" s="11"/>
      <c r="B944" s="11"/>
      <c r="C944" s="11"/>
      <c r="D944" s="11"/>
      <c r="E944" s="13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0"/>
      <c r="X944" s="10"/>
    </row>
    <row r="945" spans="1:24" ht="22.5" customHeight="1">
      <c r="A945" s="11"/>
      <c r="B945" s="11"/>
      <c r="C945" s="11"/>
      <c r="D945" s="11"/>
      <c r="E945" s="13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0"/>
      <c r="X945" s="10"/>
    </row>
    <row r="946" spans="1:24" ht="22.5" customHeight="1">
      <c r="A946" s="11"/>
      <c r="B946" s="11"/>
      <c r="C946" s="11"/>
      <c r="D946" s="11"/>
      <c r="E946" s="13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0"/>
      <c r="X946" s="10"/>
    </row>
    <row r="947" spans="1:24" ht="22.5" customHeight="1">
      <c r="A947" s="11"/>
      <c r="B947" s="11"/>
      <c r="C947" s="11"/>
      <c r="D947" s="11"/>
      <c r="E947" s="13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0"/>
      <c r="X947" s="10"/>
    </row>
    <row r="948" spans="1:24" ht="22.5" customHeight="1">
      <c r="A948" s="11"/>
      <c r="B948" s="11"/>
      <c r="C948" s="11"/>
      <c r="D948" s="11"/>
      <c r="E948" s="1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0"/>
      <c r="X948" s="10"/>
    </row>
    <row r="949" spans="1:24" ht="22.5" customHeight="1">
      <c r="A949" s="11"/>
      <c r="B949" s="11"/>
      <c r="C949" s="11"/>
      <c r="D949" s="11"/>
      <c r="E949" s="1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0"/>
      <c r="X949" s="10"/>
    </row>
    <row r="950" spans="1:24" ht="22.5" customHeight="1">
      <c r="A950" s="11"/>
      <c r="B950" s="11"/>
      <c r="C950" s="11"/>
      <c r="D950" s="11"/>
      <c r="E950" s="1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0"/>
      <c r="X950" s="10"/>
    </row>
    <row r="951" spans="1:24" ht="22.5" customHeight="1">
      <c r="A951" s="11"/>
      <c r="B951" s="11"/>
      <c r="C951" s="11"/>
      <c r="D951" s="11"/>
      <c r="E951" s="13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 spans="1:24" ht="22.5" customHeight="1">
      <c r="A952" s="11"/>
      <c r="B952" s="11"/>
      <c r="C952" s="11"/>
      <c r="D952" s="11"/>
      <c r="E952" s="13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 spans="1:24" ht="22.5" customHeight="1">
      <c r="A953" s="11"/>
      <c r="B953" s="11"/>
      <c r="C953" s="11"/>
      <c r="D953" s="11"/>
      <c r="E953" s="13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7"/>
      <c r="X953" s="7"/>
    </row>
    <row r="954" spans="1:24" ht="22.5" customHeight="1">
      <c r="A954" s="11"/>
      <c r="B954" s="11"/>
      <c r="C954" s="11"/>
      <c r="D954" s="11"/>
      <c r="E954" s="13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2"/>
      <c r="X954" s="12"/>
    </row>
    <row r="955" spans="1:24" ht="22.5" customHeight="1">
      <c r="A955" s="11"/>
      <c r="B955" s="11"/>
      <c r="C955" s="11"/>
      <c r="D955" s="11"/>
      <c r="E955" s="1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0"/>
      <c r="X955" s="10"/>
    </row>
    <row r="956" spans="1:24" ht="22.5" customHeight="1">
      <c r="A956" s="11"/>
      <c r="B956" s="11"/>
      <c r="C956" s="11"/>
      <c r="D956" s="11"/>
      <c r="E956" s="13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0"/>
      <c r="X956" s="10"/>
    </row>
    <row r="957" spans="1:24" ht="22.5" customHeight="1">
      <c r="A957" s="11"/>
      <c r="B957" s="11"/>
      <c r="C957" s="11"/>
      <c r="D957" s="11"/>
      <c r="E957" s="13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0"/>
      <c r="X957" s="10"/>
    </row>
    <row r="958" spans="1:24" ht="22.5" customHeight="1">
      <c r="A958" s="11"/>
      <c r="B958" s="11"/>
      <c r="C958" s="11"/>
      <c r="D958" s="11"/>
      <c r="E958" s="13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0"/>
      <c r="X958" s="10"/>
    </row>
    <row r="959" spans="1:24" ht="22.5" customHeight="1">
      <c r="A959" s="11"/>
      <c r="B959" s="11"/>
      <c r="C959" s="11"/>
      <c r="D959" s="11"/>
      <c r="E959" s="13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0"/>
      <c r="X959" s="10"/>
    </row>
    <row r="960" spans="1:24" ht="22.5" customHeight="1">
      <c r="A960" s="11"/>
      <c r="B960" s="11"/>
      <c r="C960" s="11"/>
      <c r="D960" s="11"/>
      <c r="E960" s="13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0"/>
      <c r="X960" s="10"/>
    </row>
    <row r="961" spans="1:24" ht="22.5" customHeight="1">
      <c r="A961" s="11"/>
      <c r="B961" s="11"/>
      <c r="C961" s="11"/>
      <c r="D961" s="11"/>
      <c r="E961" s="13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0"/>
      <c r="X961" s="10"/>
    </row>
    <row r="962" spans="1:24" ht="22.5" customHeight="1">
      <c r="A962" s="11"/>
      <c r="B962" s="11"/>
      <c r="C962" s="11"/>
      <c r="D962" s="11"/>
      <c r="E962" s="13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0"/>
      <c r="X962" s="10"/>
    </row>
    <row r="963" spans="1:24" ht="22.5" customHeight="1">
      <c r="A963" s="11"/>
      <c r="B963" s="11"/>
      <c r="C963" s="11"/>
      <c r="D963" s="11"/>
      <c r="E963" s="13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0"/>
      <c r="X963" s="10"/>
    </row>
    <row r="964" spans="1:24" ht="22.5" customHeight="1">
      <c r="A964" s="11"/>
      <c r="B964" s="11"/>
      <c r="C964" s="11"/>
      <c r="D964" s="11"/>
      <c r="E964" s="1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0"/>
      <c r="X964" s="10"/>
    </row>
    <row r="965" spans="1:24" ht="22.5" customHeight="1">
      <c r="A965" s="11"/>
      <c r="B965" s="11"/>
      <c r="C965" s="11"/>
      <c r="D965" s="11"/>
      <c r="E965" s="1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0"/>
      <c r="X965" s="10"/>
    </row>
    <row r="966" spans="1:24" ht="22.5" customHeight="1">
      <c r="A966" s="11"/>
      <c r="B966" s="11"/>
      <c r="C966" s="11"/>
      <c r="D966" s="11"/>
      <c r="E966" s="1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0"/>
      <c r="X966" s="10"/>
    </row>
    <row r="967" spans="1:24" ht="22.5" customHeight="1">
      <c r="A967" s="11"/>
      <c r="B967" s="11"/>
      <c r="C967" s="11"/>
      <c r="D967" s="11"/>
      <c r="E967" s="1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0"/>
      <c r="X967" s="10"/>
    </row>
    <row r="968" spans="1:24" ht="22.5" customHeight="1">
      <c r="A968" s="11"/>
      <c r="B968" s="11"/>
      <c r="C968" s="11"/>
      <c r="D968" s="11"/>
      <c r="E968" s="1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 spans="1:24" ht="22.5" customHeight="1">
      <c r="A969" s="11"/>
      <c r="B969" s="11"/>
      <c r="C969" s="11"/>
      <c r="D969" s="11"/>
      <c r="E969" s="13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 spans="1:24" ht="22.5" customHeight="1">
      <c r="A970" s="11"/>
      <c r="B970" s="11"/>
      <c r="C970" s="11"/>
      <c r="D970" s="11"/>
      <c r="E970" s="13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7"/>
      <c r="X970" s="7"/>
    </row>
    <row r="971" spans="1:24" ht="22.5" customHeight="1">
      <c r="A971" s="11"/>
      <c r="B971" s="11"/>
      <c r="C971" s="11"/>
      <c r="D971" s="11"/>
      <c r="E971" s="13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2"/>
      <c r="X971" s="12"/>
    </row>
    <row r="972" spans="1:24" ht="22.5" customHeight="1">
      <c r="A972" s="11"/>
      <c r="B972" s="11"/>
      <c r="C972" s="11"/>
      <c r="D972" s="11"/>
      <c r="E972" s="13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0"/>
      <c r="X972" s="10"/>
    </row>
    <row r="973" spans="1:24" ht="22.5" customHeight="1">
      <c r="A973" s="11"/>
      <c r="B973" s="11"/>
      <c r="C973" s="11"/>
      <c r="D973" s="11"/>
      <c r="E973" s="13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0"/>
      <c r="X973" s="10"/>
    </row>
    <row r="974" spans="1:24" ht="22.5" customHeight="1">
      <c r="A974" s="11"/>
      <c r="B974" s="11"/>
      <c r="C974" s="11"/>
      <c r="D974" s="11"/>
      <c r="E974" s="13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0"/>
      <c r="X974" s="10"/>
    </row>
    <row r="975" spans="1:24" ht="22.5" customHeight="1">
      <c r="A975" s="11"/>
      <c r="B975" s="11"/>
      <c r="C975" s="11"/>
      <c r="D975" s="11"/>
      <c r="E975" s="13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0"/>
      <c r="X975" s="10"/>
    </row>
    <row r="976" spans="1:24" ht="22.5" customHeight="1">
      <c r="A976" s="11"/>
      <c r="B976" s="11"/>
      <c r="C976" s="11"/>
      <c r="D976" s="11"/>
      <c r="E976" s="13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0"/>
      <c r="X976" s="10"/>
    </row>
    <row r="977" spans="1:24" ht="22.5" customHeight="1">
      <c r="A977" s="11"/>
      <c r="B977" s="11"/>
      <c r="C977" s="11"/>
      <c r="D977" s="11"/>
      <c r="E977" s="13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0"/>
      <c r="X977" s="10"/>
    </row>
    <row r="978" spans="1:24" ht="22.5" customHeight="1">
      <c r="A978" s="11"/>
      <c r="B978" s="11"/>
      <c r="C978" s="11"/>
      <c r="D978" s="11"/>
      <c r="E978" s="1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0"/>
      <c r="X978" s="10"/>
    </row>
    <row r="979" spans="1:24" ht="22.5" customHeight="1">
      <c r="A979" s="11"/>
      <c r="B979" s="11"/>
      <c r="C979" s="11"/>
      <c r="D979" s="11"/>
      <c r="E979" s="1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0"/>
      <c r="X979" s="10"/>
    </row>
    <row r="980" spans="1:24" ht="22.5" customHeight="1">
      <c r="A980" s="11"/>
      <c r="B980" s="11"/>
      <c r="C980" s="11"/>
      <c r="D980" s="11"/>
      <c r="E980" s="1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0"/>
      <c r="X980" s="10"/>
    </row>
    <row r="981" spans="1:24" ht="22.5" customHeight="1">
      <c r="A981" s="11"/>
      <c r="B981" s="11"/>
      <c r="C981" s="11"/>
      <c r="D981" s="11"/>
      <c r="E981" s="1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/>
      <c r="X981" s="10"/>
    </row>
    <row r="982" spans="1:24" ht="22.5" customHeight="1">
      <c r="A982" s="11"/>
      <c r="B982" s="11"/>
      <c r="C982" s="11"/>
      <c r="D982" s="11"/>
      <c r="E982" s="1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0"/>
      <c r="X982" s="10"/>
    </row>
    <row r="983" spans="1:24" ht="22.5" customHeight="1">
      <c r="A983" s="11"/>
      <c r="B983" s="11"/>
      <c r="C983" s="11"/>
      <c r="D983" s="11"/>
      <c r="E983" s="1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0"/>
      <c r="X983" s="10"/>
    </row>
    <row r="984" spans="1:24" ht="22.5" customHeight="1">
      <c r="A984" s="11"/>
      <c r="B984" s="11"/>
      <c r="C984" s="11"/>
      <c r="D984" s="11"/>
      <c r="E984" s="1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0"/>
      <c r="X984" s="10"/>
    </row>
    <row r="985" spans="1:24" ht="22.5" customHeight="1">
      <c r="A985" s="11"/>
      <c r="B985" s="11"/>
      <c r="C985" s="11"/>
      <c r="D985" s="11"/>
      <c r="E985" s="13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 spans="1:24" ht="22.5" customHeight="1">
      <c r="A986" s="11"/>
      <c r="B986" s="11"/>
      <c r="C986" s="11"/>
      <c r="D986" s="11"/>
      <c r="E986" s="13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</sheetData>
  <dataValidations count="1">
    <dataValidation type="custom" allowBlank="1" showDropDown="1" sqref="E2:E986" xr:uid="{00000000-0002-0000-0000-000000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7"/>
  <sheetViews>
    <sheetView workbookViewId="0">
      <selection sqref="A1:D1048576"/>
    </sheetView>
  </sheetViews>
  <sheetFormatPr defaultColWidth="12.6328125" defaultRowHeight="15.75" customHeight="1"/>
  <cols>
    <col min="2" max="2" width="14.08984375" customWidth="1"/>
    <col min="3" max="3" width="29.36328125" customWidth="1"/>
    <col min="6" max="8" width="17.90625" customWidth="1"/>
  </cols>
  <sheetData>
    <row r="1" spans="1:8" ht="15.75" customHeight="1">
      <c r="A1" s="18" t="s">
        <v>48</v>
      </c>
      <c r="B1" s="18" t="s">
        <v>49</v>
      </c>
      <c r="C1" s="18" t="s">
        <v>50</v>
      </c>
      <c r="D1" s="18" t="s">
        <v>51</v>
      </c>
      <c r="E1" s="18" t="s">
        <v>52</v>
      </c>
      <c r="F1" s="18" t="s">
        <v>53</v>
      </c>
      <c r="G1" s="18" t="s">
        <v>54</v>
      </c>
    </row>
    <row r="2" spans="1:8" ht="15.75" customHeight="1">
      <c r="A2" s="18" t="s">
        <v>4</v>
      </c>
      <c r="B2" s="18" t="s">
        <v>55</v>
      </c>
      <c r="C2" s="18" t="s">
        <v>56</v>
      </c>
      <c r="D2" s="18" t="s">
        <v>57</v>
      </c>
      <c r="E2" s="18" t="s">
        <v>58</v>
      </c>
      <c r="F2" s="18" t="s">
        <v>59</v>
      </c>
      <c r="G2" s="18">
        <v>245</v>
      </c>
    </row>
    <row r="3" spans="1:8" ht="15.75" customHeight="1">
      <c r="C3" s="18" t="s">
        <v>60</v>
      </c>
      <c r="D3" s="18" t="s">
        <v>57</v>
      </c>
      <c r="E3" s="18" t="s">
        <v>58</v>
      </c>
      <c r="F3" s="18"/>
      <c r="G3" s="18">
        <v>340</v>
      </c>
    </row>
    <row r="4" spans="1:8" ht="15.75" customHeight="1">
      <c r="C4" s="18" t="s">
        <v>61</v>
      </c>
      <c r="D4" s="18" t="s">
        <v>57</v>
      </c>
      <c r="E4" s="18" t="s">
        <v>58</v>
      </c>
    </row>
    <row r="6" spans="1:8" ht="15.75" customHeight="1">
      <c r="E6" s="18" t="s">
        <v>62</v>
      </c>
    </row>
    <row r="7" spans="1:8" ht="15.75" customHeight="1">
      <c r="D7" s="18" t="s">
        <v>23</v>
      </c>
      <c r="E7" s="18" t="s">
        <v>63</v>
      </c>
      <c r="F7" s="18"/>
      <c r="G7" s="18" t="s">
        <v>64</v>
      </c>
      <c r="H7" s="18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EB36-FD1D-4124-87CC-A7059B26E7D2}">
  <dimension ref="A1:E26"/>
  <sheetViews>
    <sheetView tabSelected="1" workbookViewId="0">
      <selection activeCell="K20" sqref="K20"/>
    </sheetView>
  </sheetViews>
  <sheetFormatPr defaultRowHeight="12.5"/>
  <sheetData>
    <row r="1" spans="1:5" ht="14">
      <c r="A1" s="50" t="s">
        <v>0</v>
      </c>
      <c r="B1" s="51" t="s">
        <v>1</v>
      </c>
      <c r="C1" s="51" t="s">
        <v>2</v>
      </c>
      <c r="D1" s="51" t="s">
        <v>3</v>
      </c>
      <c r="E1" s="62" t="s">
        <v>146</v>
      </c>
    </row>
    <row r="2" spans="1:5" ht="14">
      <c r="A2" s="52" t="s">
        <v>24</v>
      </c>
      <c r="B2" s="53">
        <f>'June 26 Price List'!C2</f>
        <v>249.59</v>
      </c>
      <c r="C2" s="53">
        <f>'June 26 Price List'!D2</f>
        <v>440</v>
      </c>
      <c r="D2" s="53">
        <f>'June 26 Price List'!E2</f>
        <v>340</v>
      </c>
      <c r="E2" s="63">
        <v>0.05</v>
      </c>
    </row>
    <row r="3" spans="1:5" ht="14">
      <c r="A3" s="54" t="s">
        <v>25</v>
      </c>
      <c r="B3" s="55">
        <f>'June 26 Price List'!C3</f>
        <v>240.75</v>
      </c>
      <c r="C3" s="55">
        <f>'June 26 Price List'!D3</f>
        <v>310</v>
      </c>
      <c r="D3" s="55">
        <f>'June 26 Price List'!E3</f>
        <v>285</v>
      </c>
      <c r="E3" s="63">
        <v>0.05</v>
      </c>
    </row>
    <row r="4" spans="1:5" ht="14">
      <c r="A4" s="52" t="s">
        <v>26</v>
      </c>
      <c r="B4" s="53">
        <f>'June 26 Price List'!C4</f>
        <v>257.99</v>
      </c>
      <c r="C4" s="53">
        <f>'June 26 Price List'!D4</f>
        <v>469</v>
      </c>
      <c r="D4" s="53">
        <f>'June 26 Price List'!E4</f>
        <v>350</v>
      </c>
      <c r="E4" s="63">
        <v>0.05</v>
      </c>
    </row>
    <row r="5" spans="1:5" ht="14">
      <c r="A5" s="54" t="s">
        <v>27</v>
      </c>
      <c r="B5" s="55">
        <f>'June 26 Price List'!C5</f>
        <v>278.20999999999998</v>
      </c>
      <c r="C5" s="55">
        <f>'June 26 Price List'!D5</f>
        <v>339</v>
      </c>
      <c r="D5" s="55">
        <f>'June 26 Price List'!E5</f>
        <v>325</v>
      </c>
      <c r="E5" s="63">
        <v>0.05</v>
      </c>
    </row>
    <row r="6" spans="1:5" ht="14">
      <c r="A6" s="52" t="s">
        <v>28</v>
      </c>
      <c r="B6" s="53">
        <f>'June 26 Price List'!C6</f>
        <v>262.79000000000002</v>
      </c>
      <c r="C6" s="53">
        <f>'June 26 Price List'!D6</f>
        <v>469</v>
      </c>
      <c r="D6" s="53">
        <f>'June 26 Price List'!E6</f>
        <v>350</v>
      </c>
      <c r="E6" s="63">
        <v>0.05</v>
      </c>
    </row>
    <row r="7" spans="1:5" ht="14">
      <c r="A7" s="54" t="s">
        <v>29</v>
      </c>
      <c r="B7" s="55">
        <f>'June 26 Price List'!C7</f>
        <v>60.99</v>
      </c>
      <c r="C7" s="55">
        <f>'June 26 Price List'!D7</f>
        <v>159</v>
      </c>
      <c r="D7" s="55">
        <f>'June 26 Price List'!E7</f>
        <v>109</v>
      </c>
      <c r="E7" s="63">
        <v>0.05</v>
      </c>
    </row>
    <row r="8" spans="1:5" ht="14">
      <c r="A8" s="52" t="s">
        <v>30</v>
      </c>
      <c r="B8" s="53">
        <f>'June 26 Price List'!C8</f>
        <v>42.8</v>
      </c>
      <c r="C8" s="53">
        <f>'June 26 Price List'!D8</f>
        <v>159</v>
      </c>
      <c r="D8" s="53">
        <f>'June 26 Price List'!E8</f>
        <v>109</v>
      </c>
      <c r="E8" s="63">
        <v>0.05</v>
      </c>
    </row>
    <row r="9" spans="1:5" ht="14">
      <c r="A9" s="54" t="s">
        <v>31</v>
      </c>
      <c r="B9" s="55">
        <f>'June 26 Price List'!C9</f>
        <v>1284.02</v>
      </c>
      <c r="C9" s="55">
        <f>'June 26 Price List'!D9</f>
        <v>2099</v>
      </c>
      <c r="D9" s="55">
        <f>'June 26 Price List'!E9</f>
        <v>1699</v>
      </c>
      <c r="E9" s="63">
        <v>0.05</v>
      </c>
    </row>
    <row r="10" spans="1:5" ht="14">
      <c r="A10" s="52" t="s">
        <v>32</v>
      </c>
      <c r="B10" s="53">
        <f>'June 26 Price List'!C10</f>
        <v>96</v>
      </c>
      <c r="C10" s="53">
        <f>'June 26 Price List'!D10</f>
        <v>189</v>
      </c>
      <c r="D10" s="53">
        <f>'June 26 Price List'!E10</f>
        <v>150</v>
      </c>
      <c r="E10" s="63">
        <v>0</v>
      </c>
    </row>
    <row r="11" spans="1:5" ht="14">
      <c r="A11" s="54" t="s">
        <v>33</v>
      </c>
      <c r="B11" s="55">
        <f>'June 26 Price List'!C11</f>
        <v>136.79</v>
      </c>
      <c r="C11" s="55">
        <f>'June 26 Price List'!D11</f>
        <v>219</v>
      </c>
      <c r="D11" s="55">
        <f>'June 26 Price List'!E11</f>
        <v>180</v>
      </c>
      <c r="E11" s="63">
        <v>0</v>
      </c>
    </row>
    <row r="12" spans="1:5" ht="14">
      <c r="A12" s="52" t="s">
        <v>34</v>
      </c>
      <c r="B12" s="53">
        <f>'June 26 Price List'!C12</f>
        <v>166.79</v>
      </c>
      <c r="C12" s="53">
        <f>'June 26 Price List'!D12</f>
        <v>239</v>
      </c>
      <c r="D12" s="53">
        <f>'June 26 Price List'!E12</f>
        <v>199</v>
      </c>
      <c r="E12" s="63">
        <v>0</v>
      </c>
    </row>
    <row r="13" spans="1:5" ht="14">
      <c r="A13" s="54" t="s">
        <v>35</v>
      </c>
      <c r="B13" s="55">
        <f>'June 26 Price List'!C13</f>
        <v>116.39</v>
      </c>
      <c r="C13" s="55">
        <f>'June 26 Price List'!D13</f>
        <v>219</v>
      </c>
      <c r="D13" s="55">
        <f>'June 26 Price List'!E13</f>
        <v>180</v>
      </c>
      <c r="E13" s="63">
        <v>0</v>
      </c>
    </row>
    <row r="14" spans="1:5" ht="14">
      <c r="A14" s="52" t="s">
        <v>36</v>
      </c>
      <c r="B14" s="53">
        <f>'June 26 Price List'!C14</f>
        <v>143.99</v>
      </c>
      <c r="C14" s="53">
        <f>'June 26 Price List'!D14</f>
        <v>210</v>
      </c>
      <c r="D14" s="53">
        <f>'June 26 Price List'!E14</f>
        <v>210</v>
      </c>
      <c r="E14" s="63">
        <v>0</v>
      </c>
    </row>
    <row r="15" spans="1:5" ht="14">
      <c r="A15" s="54" t="s">
        <v>37</v>
      </c>
      <c r="B15" s="55">
        <f>'June 26 Price List'!C15</f>
        <v>76.8</v>
      </c>
      <c r="C15" s="55">
        <f>'June 26 Price List'!D15</f>
        <v>139</v>
      </c>
      <c r="D15" s="55">
        <f>'June 26 Price List'!E15</f>
        <v>100</v>
      </c>
      <c r="E15" s="63">
        <v>0</v>
      </c>
    </row>
    <row r="16" spans="1:5" ht="14">
      <c r="A16" s="52" t="s">
        <v>38</v>
      </c>
      <c r="B16" s="53">
        <f>'June 26 Price List'!C16</f>
        <v>88.23</v>
      </c>
      <c r="C16" s="53">
        <f>'June 26 Price List'!D16</f>
        <v>259</v>
      </c>
      <c r="D16" s="53">
        <f>'June 26 Price List'!E16</f>
        <v>240</v>
      </c>
      <c r="E16" s="63">
        <v>0</v>
      </c>
    </row>
    <row r="17" spans="1:5" ht="14">
      <c r="A17" s="54" t="s">
        <v>39</v>
      </c>
      <c r="B17" s="55">
        <f>'June 26 Price List'!C17</f>
        <v>101.65</v>
      </c>
      <c r="C17" s="55">
        <f>'June 26 Price List'!D17</f>
        <v>159</v>
      </c>
      <c r="D17" s="55">
        <f>'June 26 Price List'!E17</f>
        <v>149</v>
      </c>
      <c r="E17" s="63">
        <v>0</v>
      </c>
    </row>
    <row r="18" spans="1:5" ht="14">
      <c r="A18" s="52" t="s">
        <v>40</v>
      </c>
      <c r="B18" s="53">
        <f>'June 26 Price List'!C18</f>
        <v>131.19999999999999</v>
      </c>
      <c r="C18" s="53">
        <f>'June 26 Price List'!D18</f>
        <v>299</v>
      </c>
      <c r="D18" s="53">
        <f>'June 26 Price List'!E18</f>
        <v>250</v>
      </c>
      <c r="E18" s="63">
        <v>0</v>
      </c>
    </row>
    <row r="19" spans="1:5" ht="14">
      <c r="A19" s="54" t="s">
        <v>41</v>
      </c>
      <c r="B19" s="55">
        <f>'June 26 Price List'!C19</f>
        <v>134.5</v>
      </c>
      <c r="C19" s="55">
        <f>'June 26 Price List'!D19</f>
        <v>299</v>
      </c>
      <c r="D19" s="55">
        <f>'June 26 Price List'!E19</f>
        <v>250</v>
      </c>
      <c r="E19" s="63">
        <v>0</v>
      </c>
    </row>
    <row r="20" spans="1:5" ht="14">
      <c r="A20" s="56" t="s">
        <v>42</v>
      </c>
      <c r="B20" s="53">
        <f>'June 26 Price List'!C20</f>
        <v>31</v>
      </c>
      <c r="C20" s="53">
        <f>'June 26 Price List'!D20</f>
        <v>0</v>
      </c>
      <c r="D20" s="53">
        <f>'June 26 Price List'!E20</f>
        <v>0</v>
      </c>
      <c r="E20" s="63">
        <v>0</v>
      </c>
    </row>
    <row r="21" spans="1:5" ht="14">
      <c r="A21" s="54" t="s">
        <v>23</v>
      </c>
      <c r="B21" s="57"/>
      <c r="C21" s="57"/>
      <c r="D21" s="57"/>
    </row>
    <row r="22" spans="1:5" ht="14">
      <c r="A22" s="58" t="s">
        <v>43</v>
      </c>
      <c r="B22" s="59"/>
      <c r="C22" s="59"/>
      <c r="D22" s="59"/>
    </row>
    <row r="23" spans="1:5" ht="14">
      <c r="A23" s="60" t="s">
        <v>44</v>
      </c>
      <c r="B23" s="61"/>
      <c r="C23" s="61"/>
      <c r="D23" s="61"/>
    </row>
    <row r="24" spans="1:5" ht="14">
      <c r="A24" s="58" t="s">
        <v>45</v>
      </c>
      <c r="B24" s="59"/>
      <c r="C24" s="59"/>
      <c r="D24" s="59"/>
    </row>
    <row r="25" spans="1:5" ht="14">
      <c r="A25" s="60" t="s">
        <v>46</v>
      </c>
      <c r="B25" s="61"/>
      <c r="C25" s="61"/>
      <c r="D25" s="61"/>
    </row>
    <row r="26" spans="1:5" ht="14">
      <c r="A26" s="58" t="s">
        <v>47</v>
      </c>
      <c r="B26" s="59"/>
      <c r="C26" s="59"/>
      <c r="D26" s="5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1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25.7265625" customWidth="1"/>
    <col min="2" max="2" width="12.7265625" customWidth="1"/>
    <col min="3" max="3" width="18" customWidth="1"/>
    <col min="4" max="5" width="14.26953125" customWidth="1"/>
    <col min="6" max="6" width="16.7265625" customWidth="1"/>
    <col min="7" max="7" width="19.453125" customWidth="1"/>
    <col min="8" max="8" width="13.6328125" customWidth="1"/>
    <col min="9" max="9" width="15.26953125" customWidth="1"/>
  </cols>
  <sheetData>
    <row r="1" spans="1:9" ht="22.5" customHeight="1">
      <c r="A1" s="1" t="s">
        <v>0</v>
      </c>
      <c r="B1" s="19" t="s">
        <v>66</v>
      </c>
      <c r="C1" s="20" t="s">
        <v>1</v>
      </c>
      <c r="D1" s="19" t="s">
        <v>2</v>
      </c>
      <c r="E1" s="20" t="s">
        <v>67</v>
      </c>
      <c r="F1" s="19" t="s">
        <v>44</v>
      </c>
      <c r="G1" s="21" t="s">
        <v>68</v>
      </c>
      <c r="H1" s="20" t="s">
        <v>45</v>
      </c>
      <c r="I1" s="20" t="s">
        <v>69</v>
      </c>
    </row>
    <row r="2" spans="1:9" ht="22.5" customHeight="1">
      <c r="A2" s="7" t="s">
        <v>24</v>
      </c>
      <c r="B2" s="14">
        <f>'Landed cost breakdown'!C13</f>
        <v>15149120</v>
      </c>
      <c r="C2" s="8">
        <f>'Landed cost breakdown'!J13</f>
        <v>249.59</v>
      </c>
      <c r="D2" s="8">
        <f>'Landed cost breakdown'!K13</f>
        <v>440</v>
      </c>
      <c r="E2" s="8">
        <f>'Landed cost breakdown'!L13</f>
        <v>340</v>
      </c>
      <c r="F2" s="22">
        <f t="shared" ref="F2:F19" si="0">(D2-E2)/D2</f>
        <v>0.22727272727272727</v>
      </c>
      <c r="G2" s="8"/>
      <c r="H2" s="8">
        <f t="shared" ref="H2:H20" si="1">E2-C2-G2</f>
        <v>90.41</v>
      </c>
      <c r="I2" s="22">
        <f t="shared" ref="I2:I19" si="2">H2/E2</f>
        <v>0.26591176470588235</v>
      </c>
    </row>
    <row r="3" spans="1:9" ht="22.5" customHeight="1">
      <c r="A3" s="7" t="s">
        <v>25</v>
      </c>
      <c r="B3" s="14">
        <f>'Landed cost breakdown'!C5</f>
        <v>15149120</v>
      </c>
      <c r="C3" s="8">
        <f>'Landed cost breakdown'!J5</f>
        <v>240.75</v>
      </c>
      <c r="D3" s="8">
        <f>'Landed cost breakdown'!K5</f>
        <v>310</v>
      </c>
      <c r="E3" s="8">
        <f>'Landed cost breakdown'!L5</f>
        <v>285</v>
      </c>
      <c r="F3" s="22">
        <f t="shared" si="0"/>
        <v>8.0645161290322578E-2</v>
      </c>
      <c r="G3" s="8"/>
      <c r="H3" s="8">
        <f t="shared" si="1"/>
        <v>44.25</v>
      </c>
      <c r="I3" s="22">
        <f t="shared" si="2"/>
        <v>0.15526315789473685</v>
      </c>
    </row>
    <row r="4" spans="1:9" ht="22.5" customHeight="1">
      <c r="A4" s="7" t="s">
        <v>26</v>
      </c>
      <c r="B4" s="14">
        <f>'Landed cost breakdown'!C14</f>
        <v>15089010</v>
      </c>
      <c r="C4" s="8">
        <f>'Landed cost breakdown'!J14</f>
        <v>257.99</v>
      </c>
      <c r="D4" s="8">
        <f>'Landed cost breakdown'!K14</f>
        <v>469</v>
      </c>
      <c r="E4" s="8">
        <f>'Landed cost breakdown'!L14</f>
        <v>350</v>
      </c>
      <c r="F4" s="22">
        <f t="shared" si="0"/>
        <v>0.2537313432835821</v>
      </c>
      <c r="G4" s="8"/>
      <c r="H4" s="8">
        <f t="shared" si="1"/>
        <v>92.009999999999991</v>
      </c>
      <c r="I4" s="22">
        <f t="shared" si="2"/>
        <v>0.26288571428571428</v>
      </c>
    </row>
    <row r="5" spans="1:9" ht="22.5" customHeight="1">
      <c r="A5" s="7" t="s">
        <v>27</v>
      </c>
      <c r="B5" s="14">
        <f>'Landed cost breakdown'!C6</f>
        <v>15081000</v>
      </c>
      <c r="C5" s="8">
        <f>'Landed cost breakdown'!J6</f>
        <v>278.20999999999998</v>
      </c>
      <c r="D5" s="8">
        <f>'Landed cost breakdown'!K6</f>
        <v>339</v>
      </c>
      <c r="E5" s="8">
        <f>'Landed cost breakdown'!L6</f>
        <v>325</v>
      </c>
      <c r="F5" s="22">
        <f t="shared" si="0"/>
        <v>4.1297935103244837E-2</v>
      </c>
      <c r="G5" s="8"/>
      <c r="H5" s="8">
        <f t="shared" si="1"/>
        <v>46.79000000000002</v>
      </c>
      <c r="I5" s="22">
        <f t="shared" si="2"/>
        <v>0.14396923076923082</v>
      </c>
    </row>
    <row r="6" spans="1:9" ht="22.5" customHeight="1">
      <c r="A6" s="7" t="s">
        <v>28</v>
      </c>
      <c r="B6" s="14">
        <f>'Landed cost breakdown'!C15</f>
        <v>15121910</v>
      </c>
      <c r="C6" s="8">
        <f>'Landed cost breakdown'!J15</f>
        <v>262.79000000000002</v>
      </c>
      <c r="D6" s="8">
        <f>'Landed cost breakdown'!K15</f>
        <v>469</v>
      </c>
      <c r="E6" s="8">
        <f>'Landed cost breakdown'!L15</f>
        <v>350</v>
      </c>
      <c r="F6" s="22">
        <f t="shared" si="0"/>
        <v>0.2537313432835821</v>
      </c>
      <c r="G6" s="8"/>
      <c r="H6" s="8">
        <f t="shared" si="1"/>
        <v>87.20999999999998</v>
      </c>
      <c r="I6" s="22">
        <f t="shared" si="2"/>
        <v>0.24917142857142852</v>
      </c>
    </row>
    <row r="7" spans="1:9" ht="22.5" customHeight="1">
      <c r="A7" s="7" t="s">
        <v>29</v>
      </c>
      <c r="B7" s="14">
        <f>'Landed cost breakdown'!C7</f>
        <v>15131100</v>
      </c>
      <c r="C7" s="8">
        <f>'Landed cost breakdown'!J7</f>
        <v>60.99</v>
      </c>
      <c r="D7" s="8">
        <f>'Landed cost breakdown'!K7</f>
        <v>159</v>
      </c>
      <c r="E7" s="8">
        <f>'Landed cost breakdown'!L7</f>
        <v>109</v>
      </c>
      <c r="F7" s="22">
        <f t="shared" si="0"/>
        <v>0.31446540880503143</v>
      </c>
      <c r="G7" s="8"/>
      <c r="H7" s="8">
        <f t="shared" si="1"/>
        <v>48.01</v>
      </c>
      <c r="I7" s="22">
        <f t="shared" si="2"/>
        <v>0.44045871559633026</v>
      </c>
    </row>
    <row r="8" spans="1:9" ht="22.5" customHeight="1">
      <c r="A8" s="7" t="s">
        <v>30</v>
      </c>
      <c r="B8" s="14">
        <f>'Landed cost breakdown'!C8</f>
        <v>15155099</v>
      </c>
      <c r="C8" s="8">
        <f>'Landed cost breakdown'!J8</f>
        <v>42.8</v>
      </c>
      <c r="D8" s="8">
        <f>'Landed cost breakdown'!K8</f>
        <v>159</v>
      </c>
      <c r="E8" s="8">
        <f>'Landed cost breakdown'!L8</f>
        <v>109</v>
      </c>
      <c r="F8" s="22">
        <f t="shared" si="0"/>
        <v>0.31446540880503143</v>
      </c>
      <c r="G8" s="8"/>
      <c r="H8" s="8">
        <f t="shared" si="1"/>
        <v>66.2</v>
      </c>
      <c r="I8" s="22">
        <f t="shared" si="2"/>
        <v>0.60733944954128438</v>
      </c>
    </row>
    <row r="9" spans="1:9" ht="22.5" customHeight="1">
      <c r="A9" s="7" t="s">
        <v>31</v>
      </c>
      <c r="B9" s="14">
        <f>'Landed cost breakdown'!C9</f>
        <v>4059020</v>
      </c>
      <c r="C9" s="8">
        <f>'Landed cost breakdown'!J9</f>
        <v>1284.02</v>
      </c>
      <c r="D9" s="8">
        <f>'Landed cost breakdown'!K9</f>
        <v>2099</v>
      </c>
      <c r="E9" s="8">
        <f>'Landed cost breakdown'!L9</f>
        <v>1699</v>
      </c>
      <c r="F9" s="22">
        <f t="shared" si="0"/>
        <v>0.19056693663649357</v>
      </c>
      <c r="G9" s="8"/>
      <c r="H9" s="8">
        <f t="shared" si="1"/>
        <v>414.98</v>
      </c>
      <c r="I9" s="22">
        <f t="shared" si="2"/>
        <v>0.2442495585638611</v>
      </c>
    </row>
    <row r="10" spans="1:9" ht="22.5" customHeight="1">
      <c r="A10" s="7" t="s">
        <v>32</v>
      </c>
      <c r="B10" s="14">
        <f>'Landed cost breakdown'!C16</f>
        <v>7139010</v>
      </c>
      <c r="C10" s="8">
        <f>'Landed cost breakdown'!J16</f>
        <v>96</v>
      </c>
      <c r="D10" s="8">
        <f>'Landed cost breakdown'!K16</f>
        <v>189</v>
      </c>
      <c r="E10" s="8">
        <f>'Landed cost breakdown'!L16</f>
        <v>150</v>
      </c>
      <c r="F10" s="22">
        <f t="shared" si="0"/>
        <v>0.20634920634920634</v>
      </c>
      <c r="G10" s="8"/>
      <c r="H10" s="8">
        <f t="shared" si="1"/>
        <v>54</v>
      </c>
      <c r="I10" s="22">
        <f t="shared" si="2"/>
        <v>0.36</v>
      </c>
    </row>
    <row r="11" spans="1:9" ht="22.5" customHeight="1">
      <c r="A11" s="7" t="s">
        <v>33</v>
      </c>
      <c r="B11" s="14">
        <f>'Landed cost breakdown'!C19</f>
        <v>7133100</v>
      </c>
      <c r="C11" s="8">
        <f>'Landed cost breakdown'!J19</f>
        <v>136.79</v>
      </c>
      <c r="D11" s="8">
        <f>'Landed cost breakdown'!K19</f>
        <v>219</v>
      </c>
      <c r="E11" s="8">
        <f>'Landed cost breakdown'!L19</f>
        <v>180</v>
      </c>
      <c r="F11" s="22">
        <f t="shared" si="0"/>
        <v>0.17808219178082191</v>
      </c>
      <c r="G11" s="8"/>
      <c r="H11" s="8">
        <f t="shared" si="1"/>
        <v>43.210000000000008</v>
      </c>
      <c r="I11" s="22">
        <f t="shared" si="2"/>
        <v>0.24005555555555561</v>
      </c>
    </row>
    <row r="12" spans="1:9" ht="22.5" customHeight="1">
      <c r="A12" s="7" t="s">
        <v>34</v>
      </c>
      <c r="B12" s="14">
        <f>'Landed cost breakdown'!C17</f>
        <v>7136000</v>
      </c>
      <c r="C12" s="8">
        <f>'Landed cost breakdown'!J17</f>
        <v>166.79</v>
      </c>
      <c r="D12" s="8">
        <f>'Landed cost breakdown'!K17</f>
        <v>239</v>
      </c>
      <c r="E12" s="8">
        <f>'Landed cost breakdown'!L17</f>
        <v>199</v>
      </c>
      <c r="F12" s="22">
        <f t="shared" si="0"/>
        <v>0.16736401673640167</v>
      </c>
      <c r="G12" s="8"/>
      <c r="H12" s="8">
        <f t="shared" si="1"/>
        <v>32.210000000000008</v>
      </c>
      <c r="I12" s="22">
        <f t="shared" si="2"/>
        <v>0.1618592964824121</v>
      </c>
    </row>
    <row r="13" spans="1:9" ht="22.5" customHeight="1">
      <c r="A13" s="7" t="s">
        <v>35</v>
      </c>
      <c r="B13" s="14">
        <f>'Landed cost breakdown'!C18</f>
        <v>7134000</v>
      </c>
      <c r="C13" s="8">
        <f>'Landed cost breakdown'!J18</f>
        <v>116.39</v>
      </c>
      <c r="D13" s="8">
        <f>'Landed cost breakdown'!K18</f>
        <v>219</v>
      </c>
      <c r="E13" s="8">
        <f>'Landed cost breakdown'!L18</f>
        <v>180</v>
      </c>
      <c r="F13" s="22">
        <f t="shared" si="0"/>
        <v>0.17808219178082191</v>
      </c>
      <c r="G13" s="8"/>
      <c r="H13" s="8">
        <f t="shared" si="1"/>
        <v>63.61</v>
      </c>
      <c r="I13" s="22">
        <f t="shared" si="2"/>
        <v>0.35338888888888886</v>
      </c>
    </row>
    <row r="14" spans="1:9" ht="22.5" customHeight="1">
      <c r="A14" s="7" t="s">
        <v>36</v>
      </c>
      <c r="B14" s="14">
        <f>'Landed cost breakdown'!C21</f>
        <v>10063020</v>
      </c>
      <c r="C14" s="8">
        <f>'Landed cost breakdown'!J21</f>
        <v>143.99</v>
      </c>
      <c r="D14" s="8">
        <f>'Landed cost breakdown'!K21</f>
        <v>210</v>
      </c>
      <c r="E14" s="8">
        <f>'Landed cost breakdown'!L21</f>
        <v>210</v>
      </c>
      <c r="F14" s="22">
        <f t="shared" si="0"/>
        <v>0</v>
      </c>
      <c r="G14" s="8"/>
      <c r="H14" s="8">
        <f t="shared" si="1"/>
        <v>66.009999999999991</v>
      </c>
      <c r="I14" s="22">
        <f t="shared" si="2"/>
        <v>0.3143333333333333</v>
      </c>
    </row>
    <row r="15" spans="1:9" ht="22.5" customHeight="1">
      <c r="A15" s="7" t="s">
        <v>37</v>
      </c>
      <c r="B15" s="14">
        <f>'Landed cost breakdown'!C20</f>
        <v>10063010</v>
      </c>
      <c r="C15" s="8">
        <f>'Landed cost breakdown'!J20</f>
        <v>76.8</v>
      </c>
      <c r="D15" s="8">
        <f>'Landed cost breakdown'!K20</f>
        <v>139</v>
      </c>
      <c r="E15" s="8">
        <f>'Landed cost breakdown'!L20</f>
        <v>100</v>
      </c>
      <c r="F15" s="22">
        <f t="shared" si="0"/>
        <v>0.2805755395683453</v>
      </c>
      <c r="G15" s="8"/>
      <c r="H15" s="8">
        <f t="shared" si="1"/>
        <v>23.200000000000003</v>
      </c>
      <c r="I15" s="22">
        <f t="shared" si="2"/>
        <v>0.23200000000000004</v>
      </c>
    </row>
    <row r="16" spans="1:9" ht="22.5" customHeight="1">
      <c r="A16" s="7" t="s">
        <v>38</v>
      </c>
      <c r="B16" s="14" t="str">
        <f>'Landed cost breakdown'!C23</f>
        <v>—</v>
      </c>
      <c r="C16" s="8">
        <f>'Landed cost breakdown'!J23</f>
        <v>88.23</v>
      </c>
      <c r="D16" s="8">
        <f>'Landed cost breakdown'!K23</f>
        <v>259</v>
      </c>
      <c r="E16" s="8">
        <f>'Landed cost breakdown'!L23</f>
        <v>240</v>
      </c>
      <c r="F16" s="22">
        <f t="shared" si="0"/>
        <v>7.3359073359073365E-2</v>
      </c>
      <c r="G16" s="8"/>
      <c r="H16" s="8">
        <f t="shared" si="1"/>
        <v>151.76999999999998</v>
      </c>
      <c r="I16" s="22">
        <f t="shared" si="2"/>
        <v>0.63237499999999991</v>
      </c>
    </row>
    <row r="17" spans="1:9" ht="22.5" customHeight="1">
      <c r="A17" s="7" t="s">
        <v>39</v>
      </c>
      <c r="B17" s="14">
        <f>'Landed cost breakdown'!C10</f>
        <v>1101</v>
      </c>
      <c r="C17" s="8">
        <f>'Landed cost breakdown'!J10</f>
        <v>101.65</v>
      </c>
      <c r="D17" s="8">
        <f>'Landed cost breakdown'!K10</f>
        <v>159</v>
      </c>
      <c r="E17" s="8">
        <f>'Landed cost breakdown'!L10</f>
        <v>149</v>
      </c>
      <c r="F17" s="22">
        <f t="shared" si="0"/>
        <v>6.2893081761006289E-2</v>
      </c>
      <c r="G17" s="8"/>
      <c r="H17" s="8">
        <f t="shared" si="1"/>
        <v>47.349999999999994</v>
      </c>
      <c r="I17" s="22">
        <f t="shared" si="2"/>
        <v>0.31778523489932881</v>
      </c>
    </row>
    <row r="18" spans="1:9" ht="22.5" customHeight="1">
      <c r="A18" s="7" t="s">
        <v>40</v>
      </c>
      <c r="B18" s="23" t="e">
        <f ca="1">_xludf.TEXTJOIN(CHAR(10), TRUE, 'Landed cost breakdown'!C26:C30)</f>
        <v>#NAME?</v>
      </c>
      <c r="C18" s="24">
        <v>131.19999999999999</v>
      </c>
      <c r="D18" s="14">
        <v>299</v>
      </c>
      <c r="E18" s="14">
        <v>250</v>
      </c>
      <c r="F18" s="22">
        <f t="shared" si="0"/>
        <v>0.16387959866220736</v>
      </c>
      <c r="G18" s="8"/>
      <c r="H18" s="8">
        <f t="shared" si="1"/>
        <v>118.80000000000001</v>
      </c>
      <c r="I18" s="22">
        <f t="shared" si="2"/>
        <v>0.47520000000000007</v>
      </c>
    </row>
    <row r="19" spans="1:9" ht="22.5" customHeight="1">
      <c r="A19" s="7" t="s">
        <v>41</v>
      </c>
      <c r="B19" s="23" t="e">
        <f ca="1">_xludf.TEXTJOIN(CHAR(10), TRUE, 'Landed cost breakdown'!C33:C36)</f>
        <v>#NAME?</v>
      </c>
      <c r="C19" s="24">
        <v>134.5</v>
      </c>
      <c r="D19" s="14">
        <v>299</v>
      </c>
      <c r="E19" s="14">
        <v>250</v>
      </c>
      <c r="F19" s="22">
        <f t="shared" si="0"/>
        <v>0.16387959866220736</v>
      </c>
      <c r="G19" s="8"/>
      <c r="H19" s="8">
        <f t="shared" si="1"/>
        <v>115.5</v>
      </c>
      <c r="I19" s="22">
        <f t="shared" si="2"/>
        <v>0.46200000000000002</v>
      </c>
    </row>
    <row r="20" spans="1:9" ht="22.5" customHeight="1">
      <c r="A20" s="15" t="s">
        <v>42</v>
      </c>
      <c r="B20" s="14" t="s">
        <v>70</v>
      </c>
      <c r="C20" s="14">
        <v>31</v>
      </c>
      <c r="D20" s="14">
        <v>0</v>
      </c>
      <c r="E20" s="14">
        <v>0</v>
      </c>
      <c r="F20" s="22">
        <v>1</v>
      </c>
      <c r="G20" s="8"/>
      <c r="H20" s="8">
        <f t="shared" si="1"/>
        <v>-31</v>
      </c>
      <c r="I20" s="22">
        <v>-1</v>
      </c>
    </row>
    <row r="21" spans="1:9" ht="12.5">
      <c r="G21" s="25"/>
    </row>
    <row r="22" spans="1:9" ht="12.5">
      <c r="G22" s="25"/>
    </row>
    <row r="23" spans="1:9" ht="12.5">
      <c r="G23" s="25"/>
    </row>
    <row r="24" spans="1:9" ht="12.5">
      <c r="G24" s="25"/>
    </row>
    <row r="25" spans="1:9" ht="12.5">
      <c r="G25" s="25"/>
    </row>
    <row r="26" spans="1:9" ht="12.5">
      <c r="G26" s="25"/>
    </row>
    <row r="27" spans="1:9" ht="12.5">
      <c r="G27" s="25"/>
    </row>
    <row r="28" spans="1:9" ht="12.5">
      <c r="G28" s="25"/>
    </row>
    <row r="29" spans="1:9" ht="12.5">
      <c r="G29" s="25"/>
    </row>
    <row r="30" spans="1:9" ht="12.5">
      <c r="G30" s="25"/>
    </row>
    <row r="31" spans="1:9" ht="12.5">
      <c r="G31" s="25"/>
    </row>
    <row r="32" spans="1:9" ht="12.5">
      <c r="G32" s="25"/>
    </row>
    <row r="33" spans="7:7" ht="12.5">
      <c r="G33" s="25"/>
    </row>
    <row r="34" spans="7:7" ht="12.5">
      <c r="G34" s="25"/>
    </row>
    <row r="35" spans="7:7" ht="12.5">
      <c r="G35" s="25"/>
    </row>
    <row r="36" spans="7:7" ht="12.5">
      <c r="G36" s="25"/>
    </row>
    <row r="37" spans="7:7" ht="12.5">
      <c r="G37" s="25"/>
    </row>
    <row r="38" spans="7:7" ht="12.5">
      <c r="G38" s="25"/>
    </row>
    <row r="39" spans="7:7" ht="12.5">
      <c r="G39" s="25"/>
    </row>
    <row r="40" spans="7:7" ht="12.5">
      <c r="G40" s="25"/>
    </row>
    <row r="41" spans="7:7" ht="12.5">
      <c r="G41" s="25"/>
    </row>
    <row r="42" spans="7:7" ht="12.5">
      <c r="G42" s="25"/>
    </row>
    <row r="43" spans="7:7" ht="12.5">
      <c r="G43" s="25"/>
    </row>
    <row r="44" spans="7:7" ht="12.5">
      <c r="G44" s="25"/>
    </row>
    <row r="45" spans="7:7" ht="12.5">
      <c r="G45" s="25"/>
    </row>
    <row r="46" spans="7:7" ht="12.5">
      <c r="G46" s="25"/>
    </row>
    <row r="47" spans="7:7" ht="12.5">
      <c r="G47" s="25"/>
    </row>
    <row r="48" spans="7:7" ht="12.5">
      <c r="G48" s="25"/>
    </row>
    <row r="49" spans="7:7" ht="12.5">
      <c r="G49" s="25"/>
    </row>
    <row r="50" spans="7:7" ht="12.5">
      <c r="G50" s="25"/>
    </row>
    <row r="51" spans="7:7" ht="12.5">
      <c r="G51" s="25"/>
    </row>
    <row r="52" spans="7:7" ht="12.5">
      <c r="G52" s="25"/>
    </row>
    <row r="53" spans="7:7" ht="12.5">
      <c r="G53" s="25"/>
    </row>
    <row r="54" spans="7:7" ht="12.5">
      <c r="G54" s="25"/>
    </row>
    <row r="55" spans="7:7" ht="12.5">
      <c r="G55" s="25"/>
    </row>
    <row r="56" spans="7:7" ht="12.5">
      <c r="G56" s="25"/>
    </row>
    <row r="57" spans="7:7" ht="12.5">
      <c r="G57" s="25"/>
    </row>
    <row r="58" spans="7:7" ht="12.5">
      <c r="G58" s="25"/>
    </row>
    <row r="59" spans="7:7" ht="12.5">
      <c r="G59" s="25"/>
    </row>
    <row r="60" spans="7:7" ht="12.5">
      <c r="G60" s="25"/>
    </row>
    <row r="61" spans="7:7" ht="12.5">
      <c r="G61" s="25"/>
    </row>
    <row r="62" spans="7:7" ht="12.5">
      <c r="G62" s="25"/>
    </row>
    <row r="63" spans="7:7" ht="12.5">
      <c r="G63" s="25"/>
    </row>
    <row r="64" spans="7:7" ht="12.5">
      <c r="G64" s="25"/>
    </row>
    <row r="65" spans="7:7" ht="12.5">
      <c r="G65" s="25"/>
    </row>
    <row r="66" spans="7:7" ht="12.5">
      <c r="G66" s="25"/>
    </row>
    <row r="67" spans="7:7" ht="12.5">
      <c r="G67" s="25"/>
    </row>
    <row r="68" spans="7:7" ht="12.5">
      <c r="G68" s="25"/>
    </row>
    <row r="69" spans="7:7" ht="12.5">
      <c r="G69" s="25"/>
    </row>
    <row r="70" spans="7:7" ht="12.5">
      <c r="G70" s="25"/>
    </row>
    <row r="71" spans="7:7" ht="12.5">
      <c r="G71" s="25"/>
    </row>
    <row r="72" spans="7:7" ht="12.5">
      <c r="G72" s="25"/>
    </row>
    <row r="73" spans="7:7" ht="12.5">
      <c r="G73" s="25"/>
    </row>
    <row r="74" spans="7:7" ht="12.5">
      <c r="G74" s="25"/>
    </row>
    <row r="75" spans="7:7" ht="12.5">
      <c r="G75" s="25"/>
    </row>
    <row r="76" spans="7:7" ht="12.5">
      <c r="G76" s="25"/>
    </row>
    <row r="77" spans="7:7" ht="12.5">
      <c r="G77" s="25"/>
    </row>
    <row r="78" spans="7:7" ht="12.5">
      <c r="G78" s="25"/>
    </row>
    <row r="79" spans="7:7" ht="12.5">
      <c r="G79" s="25"/>
    </row>
    <row r="80" spans="7:7" ht="12.5">
      <c r="G80" s="25"/>
    </row>
    <row r="81" spans="7:7" ht="12.5">
      <c r="G81" s="25"/>
    </row>
    <row r="82" spans="7:7" ht="12.5">
      <c r="G82" s="25"/>
    </row>
    <row r="83" spans="7:7" ht="12.5">
      <c r="G83" s="25"/>
    </row>
    <row r="84" spans="7:7" ht="12.5">
      <c r="G84" s="25"/>
    </row>
    <row r="85" spans="7:7" ht="12.5">
      <c r="G85" s="25"/>
    </row>
    <row r="86" spans="7:7" ht="12.5">
      <c r="G86" s="25"/>
    </row>
    <row r="87" spans="7:7" ht="12.5">
      <c r="G87" s="25"/>
    </row>
    <row r="88" spans="7:7" ht="12.5">
      <c r="G88" s="25"/>
    </row>
    <row r="89" spans="7:7" ht="12.5">
      <c r="G89" s="25"/>
    </row>
    <row r="90" spans="7:7" ht="12.5">
      <c r="G90" s="25"/>
    </row>
    <row r="91" spans="7:7" ht="12.5">
      <c r="G91" s="25"/>
    </row>
    <row r="92" spans="7:7" ht="12.5">
      <c r="G92" s="25"/>
    </row>
    <row r="93" spans="7:7" ht="12.5">
      <c r="G93" s="25"/>
    </row>
    <row r="94" spans="7:7" ht="12.5">
      <c r="G94" s="25"/>
    </row>
    <row r="95" spans="7:7" ht="12.5">
      <c r="G95" s="25"/>
    </row>
    <row r="96" spans="7:7" ht="12.5">
      <c r="G96" s="25"/>
    </row>
    <row r="97" spans="7:7" ht="12.5">
      <c r="G97" s="25"/>
    </row>
    <row r="98" spans="7:7" ht="12.5">
      <c r="G98" s="25"/>
    </row>
    <row r="99" spans="7:7" ht="12.5">
      <c r="G99" s="25"/>
    </row>
    <row r="100" spans="7:7" ht="12.5">
      <c r="G100" s="25"/>
    </row>
    <row r="101" spans="7:7" ht="12.5">
      <c r="G101" s="25"/>
    </row>
    <row r="102" spans="7:7" ht="12.5">
      <c r="G102" s="25"/>
    </row>
    <row r="103" spans="7:7" ht="12.5">
      <c r="G103" s="25"/>
    </row>
    <row r="104" spans="7:7" ht="12.5">
      <c r="G104" s="25"/>
    </row>
    <row r="105" spans="7:7" ht="12.5">
      <c r="G105" s="25"/>
    </row>
    <row r="106" spans="7:7" ht="12.5">
      <c r="G106" s="25"/>
    </row>
    <row r="107" spans="7:7" ht="12.5">
      <c r="G107" s="25"/>
    </row>
    <row r="108" spans="7:7" ht="12.5">
      <c r="G108" s="25"/>
    </row>
    <row r="109" spans="7:7" ht="12.5">
      <c r="G109" s="25"/>
    </row>
    <row r="110" spans="7:7" ht="12.5">
      <c r="G110" s="25"/>
    </row>
    <row r="111" spans="7:7" ht="12.5">
      <c r="G111" s="25"/>
    </row>
    <row r="112" spans="7:7" ht="12.5">
      <c r="G112" s="25"/>
    </row>
    <row r="113" spans="7:7" ht="12.5">
      <c r="G113" s="25"/>
    </row>
    <row r="114" spans="7:7" ht="12.5">
      <c r="G114" s="25"/>
    </row>
    <row r="115" spans="7:7" ht="12.5">
      <c r="G115" s="25"/>
    </row>
    <row r="116" spans="7:7" ht="12.5">
      <c r="G116" s="25"/>
    </row>
    <row r="117" spans="7:7" ht="12.5">
      <c r="G117" s="25"/>
    </row>
    <row r="118" spans="7:7" ht="12.5">
      <c r="G118" s="25"/>
    </row>
    <row r="119" spans="7:7" ht="12.5">
      <c r="G119" s="25"/>
    </row>
    <row r="120" spans="7:7" ht="12.5">
      <c r="G120" s="25"/>
    </row>
    <row r="121" spans="7:7" ht="12.5">
      <c r="G121" s="25"/>
    </row>
    <row r="122" spans="7:7" ht="12.5">
      <c r="G122" s="25"/>
    </row>
    <row r="123" spans="7:7" ht="12.5">
      <c r="G123" s="25"/>
    </row>
    <row r="124" spans="7:7" ht="12.5">
      <c r="G124" s="25"/>
    </row>
    <row r="125" spans="7:7" ht="12.5">
      <c r="G125" s="25"/>
    </row>
    <row r="126" spans="7:7" ht="12.5">
      <c r="G126" s="25"/>
    </row>
    <row r="127" spans="7:7" ht="12.5">
      <c r="G127" s="25"/>
    </row>
    <row r="128" spans="7:7" ht="12.5">
      <c r="G128" s="25"/>
    </row>
    <row r="129" spans="7:7" ht="12.5">
      <c r="G129" s="25"/>
    </row>
    <row r="130" spans="7:7" ht="12.5">
      <c r="G130" s="25"/>
    </row>
    <row r="131" spans="7:7" ht="12.5">
      <c r="G131" s="25"/>
    </row>
    <row r="132" spans="7:7" ht="12.5">
      <c r="G132" s="25"/>
    </row>
    <row r="133" spans="7:7" ht="12.5">
      <c r="G133" s="25"/>
    </row>
    <row r="134" spans="7:7" ht="12.5">
      <c r="G134" s="25"/>
    </row>
    <row r="135" spans="7:7" ht="12.5">
      <c r="G135" s="25"/>
    </row>
    <row r="136" spans="7:7" ht="12.5">
      <c r="G136" s="25"/>
    </row>
    <row r="137" spans="7:7" ht="12.5">
      <c r="G137" s="25"/>
    </row>
    <row r="138" spans="7:7" ht="12.5">
      <c r="G138" s="25"/>
    </row>
    <row r="139" spans="7:7" ht="12.5">
      <c r="G139" s="25"/>
    </row>
    <row r="140" spans="7:7" ht="12.5">
      <c r="G140" s="25"/>
    </row>
    <row r="141" spans="7:7" ht="12.5">
      <c r="G141" s="25"/>
    </row>
    <row r="142" spans="7:7" ht="12.5">
      <c r="G142" s="25"/>
    </row>
    <row r="143" spans="7:7" ht="12.5">
      <c r="G143" s="25"/>
    </row>
    <row r="144" spans="7:7" ht="12.5">
      <c r="G144" s="25"/>
    </row>
    <row r="145" spans="7:7" ht="12.5">
      <c r="G145" s="25"/>
    </row>
    <row r="146" spans="7:7" ht="12.5">
      <c r="G146" s="25"/>
    </row>
    <row r="147" spans="7:7" ht="12.5">
      <c r="G147" s="25"/>
    </row>
    <row r="148" spans="7:7" ht="12.5">
      <c r="G148" s="25"/>
    </row>
    <row r="149" spans="7:7" ht="12.5">
      <c r="G149" s="25"/>
    </row>
    <row r="150" spans="7:7" ht="12.5">
      <c r="G150" s="25"/>
    </row>
    <row r="151" spans="7:7" ht="12.5">
      <c r="G151" s="25"/>
    </row>
    <row r="152" spans="7:7" ht="12.5">
      <c r="G152" s="25"/>
    </row>
    <row r="153" spans="7:7" ht="12.5">
      <c r="G153" s="25"/>
    </row>
    <row r="154" spans="7:7" ht="12.5">
      <c r="G154" s="25"/>
    </row>
    <row r="155" spans="7:7" ht="12.5">
      <c r="G155" s="25"/>
    </row>
    <row r="156" spans="7:7" ht="12.5">
      <c r="G156" s="25"/>
    </row>
    <row r="157" spans="7:7" ht="12.5">
      <c r="G157" s="25"/>
    </row>
    <row r="158" spans="7:7" ht="12.5">
      <c r="G158" s="25"/>
    </row>
    <row r="159" spans="7:7" ht="12.5">
      <c r="G159" s="25"/>
    </row>
    <row r="160" spans="7:7" ht="12.5">
      <c r="G160" s="25"/>
    </row>
    <row r="161" spans="7:7" ht="12.5">
      <c r="G161" s="25"/>
    </row>
    <row r="162" spans="7:7" ht="12.5">
      <c r="G162" s="25"/>
    </row>
    <row r="163" spans="7:7" ht="12.5">
      <c r="G163" s="25"/>
    </row>
    <row r="164" spans="7:7" ht="12.5">
      <c r="G164" s="25"/>
    </row>
    <row r="165" spans="7:7" ht="12.5">
      <c r="G165" s="25"/>
    </row>
    <row r="166" spans="7:7" ht="12.5">
      <c r="G166" s="25"/>
    </row>
    <row r="167" spans="7:7" ht="12.5">
      <c r="G167" s="25"/>
    </row>
    <row r="168" spans="7:7" ht="12.5">
      <c r="G168" s="25"/>
    </row>
    <row r="169" spans="7:7" ht="12.5">
      <c r="G169" s="25"/>
    </row>
    <row r="170" spans="7:7" ht="12.5">
      <c r="G170" s="25"/>
    </row>
    <row r="171" spans="7:7" ht="12.5">
      <c r="G171" s="25"/>
    </row>
    <row r="172" spans="7:7" ht="12.5">
      <c r="G172" s="25"/>
    </row>
    <row r="173" spans="7:7" ht="12.5">
      <c r="G173" s="25"/>
    </row>
    <row r="174" spans="7:7" ht="12.5">
      <c r="G174" s="25"/>
    </row>
    <row r="175" spans="7:7" ht="12.5">
      <c r="G175" s="25"/>
    </row>
    <row r="176" spans="7:7" ht="12.5">
      <c r="G176" s="25"/>
    </row>
    <row r="177" spans="7:7" ht="12.5">
      <c r="G177" s="25"/>
    </row>
    <row r="178" spans="7:7" ht="12.5">
      <c r="G178" s="25"/>
    </row>
    <row r="179" spans="7:7" ht="12.5">
      <c r="G179" s="25"/>
    </row>
    <row r="180" spans="7:7" ht="12.5">
      <c r="G180" s="25"/>
    </row>
    <row r="181" spans="7:7" ht="12.5">
      <c r="G181" s="25"/>
    </row>
    <row r="182" spans="7:7" ht="12.5">
      <c r="G182" s="25"/>
    </row>
    <row r="183" spans="7:7" ht="12.5">
      <c r="G183" s="25"/>
    </row>
    <row r="184" spans="7:7" ht="12.5">
      <c r="G184" s="25"/>
    </row>
    <row r="185" spans="7:7" ht="12.5">
      <c r="G185" s="25"/>
    </row>
    <row r="186" spans="7:7" ht="12.5">
      <c r="G186" s="25"/>
    </row>
    <row r="187" spans="7:7" ht="12.5">
      <c r="G187" s="25"/>
    </row>
    <row r="188" spans="7:7" ht="12.5">
      <c r="G188" s="25"/>
    </row>
    <row r="189" spans="7:7" ht="12.5">
      <c r="G189" s="25"/>
    </row>
    <row r="190" spans="7:7" ht="12.5">
      <c r="G190" s="25"/>
    </row>
    <row r="191" spans="7:7" ht="12.5">
      <c r="G191" s="25"/>
    </row>
    <row r="192" spans="7:7" ht="12.5">
      <c r="G192" s="25"/>
    </row>
    <row r="193" spans="7:7" ht="12.5">
      <c r="G193" s="25"/>
    </row>
    <row r="194" spans="7:7" ht="12.5">
      <c r="G194" s="25"/>
    </row>
    <row r="195" spans="7:7" ht="12.5">
      <c r="G195" s="25"/>
    </row>
    <row r="196" spans="7:7" ht="12.5">
      <c r="G196" s="25"/>
    </row>
    <row r="197" spans="7:7" ht="12.5">
      <c r="G197" s="25"/>
    </row>
    <row r="198" spans="7:7" ht="12.5">
      <c r="G198" s="25"/>
    </row>
    <row r="199" spans="7:7" ht="12.5">
      <c r="G199" s="25"/>
    </row>
    <row r="200" spans="7:7" ht="12.5">
      <c r="G200" s="25"/>
    </row>
    <row r="201" spans="7:7" ht="12.5">
      <c r="G201" s="25"/>
    </row>
    <row r="202" spans="7:7" ht="12.5">
      <c r="G202" s="25"/>
    </row>
    <row r="203" spans="7:7" ht="12.5">
      <c r="G203" s="25"/>
    </row>
    <row r="204" spans="7:7" ht="12.5">
      <c r="G204" s="25"/>
    </row>
    <row r="205" spans="7:7" ht="12.5">
      <c r="G205" s="25"/>
    </row>
    <row r="206" spans="7:7" ht="12.5">
      <c r="G206" s="25"/>
    </row>
    <row r="207" spans="7:7" ht="12.5">
      <c r="G207" s="25"/>
    </row>
    <row r="208" spans="7:7" ht="12.5">
      <c r="G208" s="25"/>
    </row>
    <row r="209" spans="7:7" ht="12.5">
      <c r="G209" s="25"/>
    </row>
    <row r="210" spans="7:7" ht="12.5">
      <c r="G210" s="25"/>
    </row>
    <row r="211" spans="7:7" ht="12.5">
      <c r="G211" s="25"/>
    </row>
    <row r="212" spans="7:7" ht="12.5">
      <c r="G212" s="25"/>
    </row>
    <row r="213" spans="7:7" ht="12.5">
      <c r="G213" s="25"/>
    </row>
    <row r="214" spans="7:7" ht="12.5">
      <c r="G214" s="25"/>
    </row>
    <row r="215" spans="7:7" ht="12.5">
      <c r="G215" s="25"/>
    </row>
    <row r="216" spans="7:7" ht="12.5">
      <c r="G216" s="25"/>
    </row>
    <row r="217" spans="7:7" ht="12.5">
      <c r="G217" s="25"/>
    </row>
    <row r="218" spans="7:7" ht="12.5">
      <c r="G218" s="25"/>
    </row>
    <row r="219" spans="7:7" ht="12.5">
      <c r="G219" s="25"/>
    </row>
    <row r="220" spans="7:7" ht="12.5">
      <c r="G220" s="25"/>
    </row>
    <row r="221" spans="7:7" ht="12.5">
      <c r="G221" s="25"/>
    </row>
    <row r="222" spans="7:7" ht="12.5">
      <c r="G222" s="25"/>
    </row>
    <row r="223" spans="7:7" ht="12.5">
      <c r="G223" s="25"/>
    </row>
    <row r="224" spans="7:7" ht="12.5">
      <c r="G224" s="25"/>
    </row>
    <row r="225" spans="7:7" ht="12.5">
      <c r="G225" s="25"/>
    </row>
    <row r="226" spans="7:7" ht="12.5">
      <c r="G226" s="25"/>
    </row>
    <row r="227" spans="7:7" ht="12.5">
      <c r="G227" s="25"/>
    </row>
    <row r="228" spans="7:7" ht="12.5">
      <c r="G228" s="25"/>
    </row>
    <row r="229" spans="7:7" ht="12.5">
      <c r="G229" s="25"/>
    </row>
    <row r="230" spans="7:7" ht="12.5">
      <c r="G230" s="25"/>
    </row>
    <row r="231" spans="7:7" ht="12.5">
      <c r="G231" s="25"/>
    </row>
    <row r="232" spans="7:7" ht="12.5">
      <c r="G232" s="25"/>
    </row>
    <row r="233" spans="7:7" ht="12.5">
      <c r="G233" s="25"/>
    </row>
    <row r="234" spans="7:7" ht="12.5">
      <c r="G234" s="25"/>
    </row>
    <row r="235" spans="7:7" ht="12.5">
      <c r="G235" s="25"/>
    </row>
    <row r="236" spans="7:7" ht="12.5">
      <c r="G236" s="25"/>
    </row>
    <row r="237" spans="7:7" ht="12.5">
      <c r="G237" s="25"/>
    </row>
    <row r="238" spans="7:7" ht="12.5">
      <c r="G238" s="25"/>
    </row>
    <row r="239" spans="7:7" ht="12.5">
      <c r="G239" s="25"/>
    </row>
    <row r="240" spans="7:7" ht="12.5">
      <c r="G240" s="25"/>
    </row>
    <row r="241" spans="7:7" ht="12.5">
      <c r="G241" s="25"/>
    </row>
    <row r="242" spans="7:7" ht="12.5">
      <c r="G242" s="25"/>
    </row>
    <row r="243" spans="7:7" ht="12.5">
      <c r="G243" s="25"/>
    </row>
    <row r="244" spans="7:7" ht="12.5">
      <c r="G244" s="25"/>
    </row>
    <row r="245" spans="7:7" ht="12.5">
      <c r="G245" s="25"/>
    </row>
    <row r="246" spans="7:7" ht="12.5">
      <c r="G246" s="25"/>
    </row>
    <row r="247" spans="7:7" ht="12.5">
      <c r="G247" s="25"/>
    </row>
    <row r="248" spans="7:7" ht="12.5">
      <c r="G248" s="25"/>
    </row>
    <row r="249" spans="7:7" ht="12.5">
      <c r="G249" s="25"/>
    </row>
    <row r="250" spans="7:7" ht="12.5">
      <c r="G250" s="25"/>
    </row>
    <row r="251" spans="7:7" ht="12.5">
      <c r="G251" s="25"/>
    </row>
    <row r="252" spans="7:7" ht="12.5">
      <c r="G252" s="25"/>
    </row>
    <row r="253" spans="7:7" ht="12.5">
      <c r="G253" s="25"/>
    </row>
    <row r="254" spans="7:7" ht="12.5">
      <c r="G254" s="25"/>
    </row>
    <row r="255" spans="7:7" ht="12.5">
      <c r="G255" s="25"/>
    </row>
    <row r="256" spans="7:7" ht="12.5">
      <c r="G256" s="25"/>
    </row>
    <row r="257" spans="7:7" ht="12.5">
      <c r="G257" s="25"/>
    </row>
    <row r="258" spans="7:7" ht="12.5">
      <c r="G258" s="25"/>
    </row>
    <row r="259" spans="7:7" ht="12.5">
      <c r="G259" s="25"/>
    </row>
    <row r="260" spans="7:7" ht="12.5">
      <c r="G260" s="25"/>
    </row>
    <row r="261" spans="7:7" ht="12.5">
      <c r="G261" s="25"/>
    </row>
    <row r="262" spans="7:7" ht="12.5">
      <c r="G262" s="25"/>
    </row>
    <row r="263" spans="7:7" ht="12.5">
      <c r="G263" s="25"/>
    </row>
    <row r="264" spans="7:7" ht="12.5">
      <c r="G264" s="25"/>
    </row>
    <row r="265" spans="7:7" ht="12.5">
      <c r="G265" s="25"/>
    </row>
    <row r="266" spans="7:7" ht="12.5">
      <c r="G266" s="25"/>
    </row>
    <row r="267" spans="7:7" ht="12.5">
      <c r="G267" s="25"/>
    </row>
    <row r="268" spans="7:7" ht="12.5">
      <c r="G268" s="25"/>
    </row>
    <row r="269" spans="7:7" ht="12.5">
      <c r="G269" s="25"/>
    </row>
    <row r="270" spans="7:7" ht="12.5">
      <c r="G270" s="25"/>
    </row>
    <row r="271" spans="7:7" ht="12.5">
      <c r="G271" s="25"/>
    </row>
    <row r="272" spans="7:7" ht="12.5">
      <c r="G272" s="25"/>
    </row>
    <row r="273" spans="7:7" ht="12.5">
      <c r="G273" s="25"/>
    </row>
    <row r="274" spans="7:7" ht="12.5">
      <c r="G274" s="25"/>
    </row>
    <row r="275" spans="7:7" ht="12.5">
      <c r="G275" s="25"/>
    </row>
    <row r="276" spans="7:7" ht="12.5">
      <c r="G276" s="25"/>
    </row>
    <row r="277" spans="7:7" ht="12.5">
      <c r="G277" s="25"/>
    </row>
    <row r="278" spans="7:7" ht="12.5">
      <c r="G278" s="25"/>
    </row>
    <row r="279" spans="7:7" ht="12.5">
      <c r="G279" s="25"/>
    </row>
    <row r="280" spans="7:7" ht="12.5">
      <c r="G280" s="25"/>
    </row>
    <row r="281" spans="7:7" ht="12.5">
      <c r="G281" s="25"/>
    </row>
    <row r="282" spans="7:7" ht="12.5">
      <c r="G282" s="25"/>
    </row>
    <row r="283" spans="7:7" ht="12.5">
      <c r="G283" s="25"/>
    </row>
    <row r="284" spans="7:7" ht="12.5">
      <c r="G284" s="25"/>
    </row>
    <row r="285" spans="7:7" ht="12.5">
      <c r="G285" s="25"/>
    </row>
    <row r="286" spans="7:7" ht="12.5">
      <c r="G286" s="25"/>
    </row>
    <row r="287" spans="7:7" ht="12.5">
      <c r="G287" s="25"/>
    </row>
    <row r="288" spans="7:7" ht="12.5">
      <c r="G288" s="25"/>
    </row>
    <row r="289" spans="7:7" ht="12.5">
      <c r="G289" s="25"/>
    </row>
    <row r="290" spans="7:7" ht="12.5">
      <c r="G290" s="25"/>
    </row>
    <row r="291" spans="7:7" ht="12.5">
      <c r="G291" s="25"/>
    </row>
    <row r="292" spans="7:7" ht="12.5">
      <c r="G292" s="25"/>
    </row>
    <row r="293" spans="7:7" ht="12.5">
      <c r="G293" s="25"/>
    </row>
    <row r="294" spans="7:7" ht="12.5">
      <c r="G294" s="25"/>
    </row>
    <row r="295" spans="7:7" ht="12.5">
      <c r="G295" s="25"/>
    </row>
    <row r="296" spans="7:7" ht="12.5">
      <c r="G296" s="25"/>
    </row>
    <row r="297" spans="7:7" ht="12.5">
      <c r="G297" s="25"/>
    </row>
    <row r="298" spans="7:7" ht="12.5">
      <c r="G298" s="25"/>
    </row>
    <row r="299" spans="7:7" ht="12.5">
      <c r="G299" s="25"/>
    </row>
    <row r="300" spans="7:7" ht="12.5">
      <c r="G300" s="25"/>
    </row>
    <row r="301" spans="7:7" ht="12.5">
      <c r="G301" s="25"/>
    </row>
    <row r="302" spans="7:7" ht="12.5">
      <c r="G302" s="25"/>
    </row>
    <row r="303" spans="7:7" ht="12.5">
      <c r="G303" s="25"/>
    </row>
    <row r="304" spans="7:7" ht="12.5">
      <c r="G304" s="25"/>
    </row>
    <row r="305" spans="7:7" ht="12.5">
      <c r="G305" s="25"/>
    </row>
    <row r="306" spans="7:7" ht="12.5">
      <c r="G306" s="25"/>
    </row>
    <row r="307" spans="7:7" ht="12.5">
      <c r="G307" s="25"/>
    </row>
    <row r="308" spans="7:7" ht="12.5">
      <c r="G308" s="25"/>
    </row>
    <row r="309" spans="7:7" ht="12.5">
      <c r="G309" s="25"/>
    </row>
    <row r="310" spans="7:7" ht="12.5">
      <c r="G310" s="25"/>
    </row>
    <row r="311" spans="7:7" ht="12.5">
      <c r="G311" s="25"/>
    </row>
    <row r="312" spans="7:7" ht="12.5">
      <c r="G312" s="25"/>
    </row>
    <row r="313" spans="7:7" ht="12.5">
      <c r="G313" s="25"/>
    </row>
    <row r="314" spans="7:7" ht="12.5">
      <c r="G314" s="25"/>
    </row>
    <row r="315" spans="7:7" ht="12.5">
      <c r="G315" s="25"/>
    </row>
    <row r="316" spans="7:7" ht="12.5">
      <c r="G316" s="25"/>
    </row>
    <row r="317" spans="7:7" ht="12.5">
      <c r="G317" s="25"/>
    </row>
    <row r="318" spans="7:7" ht="12.5">
      <c r="G318" s="25"/>
    </row>
    <row r="319" spans="7:7" ht="12.5">
      <c r="G319" s="25"/>
    </row>
    <row r="320" spans="7:7" ht="12.5">
      <c r="G320" s="25"/>
    </row>
    <row r="321" spans="7:7" ht="12.5">
      <c r="G321" s="25"/>
    </row>
    <row r="322" spans="7:7" ht="12.5">
      <c r="G322" s="25"/>
    </row>
    <row r="323" spans="7:7" ht="12.5">
      <c r="G323" s="25"/>
    </row>
    <row r="324" spans="7:7" ht="12.5">
      <c r="G324" s="25"/>
    </row>
    <row r="325" spans="7:7" ht="12.5">
      <c r="G325" s="25"/>
    </row>
    <row r="326" spans="7:7" ht="12.5">
      <c r="G326" s="25"/>
    </row>
    <row r="327" spans="7:7" ht="12.5">
      <c r="G327" s="25"/>
    </row>
    <row r="328" spans="7:7" ht="12.5">
      <c r="G328" s="25"/>
    </row>
    <row r="329" spans="7:7" ht="12.5">
      <c r="G329" s="25"/>
    </row>
    <row r="330" spans="7:7" ht="12.5">
      <c r="G330" s="25"/>
    </row>
    <row r="331" spans="7:7" ht="12.5">
      <c r="G331" s="25"/>
    </row>
    <row r="332" spans="7:7" ht="12.5">
      <c r="G332" s="25"/>
    </row>
    <row r="333" spans="7:7" ht="12.5">
      <c r="G333" s="25"/>
    </row>
    <row r="334" spans="7:7" ht="12.5">
      <c r="G334" s="25"/>
    </row>
    <row r="335" spans="7:7" ht="12.5">
      <c r="G335" s="25"/>
    </row>
    <row r="336" spans="7:7" ht="12.5">
      <c r="G336" s="25"/>
    </row>
    <row r="337" spans="7:7" ht="12.5">
      <c r="G337" s="25"/>
    </row>
    <row r="338" spans="7:7" ht="12.5">
      <c r="G338" s="25"/>
    </row>
    <row r="339" spans="7:7" ht="12.5">
      <c r="G339" s="25"/>
    </row>
    <row r="340" spans="7:7" ht="12.5">
      <c r="G340" s="25"/>
    </row>
    <row r="341" spans="7:7" ht="12.5">
      <c r="G341" s="25"/>
    </row>
    <row r="342" spans="7:7" ht="12.5">
      <c r="G342" s="25"/>
    </row>
    <row r="343" spans="7:7" ht="12.5">
      <c r="G343" s="25"/>
    </row>
    <row r="344" spans="7:7" ht="12.5">
      <c r="G344" s="25"/>
    </row>
    <row r="345" spans="7:7" ht="12.5">
      <c r="G345" s="25"/>
    </row>
    <row r="346" spans="7:7" ht="12.5">
      <c r="G346" s="25"/>
    </row>
    <row r="347" spans="7:7" ht="12.5">
      <c r="G347" s="25"/>
    </row>
    <row r="348" spans="7:7" ht="12.5">
      <c r="G348" s="25"/>
    </row>
    <row r="349" spans="7:7" ht="12.5">
      <c r="G349" s="25"/>
    </row>
    <row r="350" spans="7:7" ht="12.5">
      <c r="G350" s="25"/>
    </row>
    <row r="351" spans="7:7" ht="12.5">
      <c r="G351" s="25"/>
    </row>
    <row r="352" spans="7:7" ht="12.5">
      <c r="G352" s="25"/>
    </row>
    <row r="353" spans="7:7" ht="12.5">
      <c r="G353" s="25"/>
    </row>
    <row r="354" spans="7:7" ht="12.5">
      <c r="G354" s="25"/>
    </row>
    <row r="355" spans="7:7" ht="12.5">
      <c r="G355" s="25"/>
    </row>
    <row r="356" spans="7:7" ht="12.5">
      <c r="G356" s="25"/>
    </row>
    <row r="357" spans="7:7" ht="12.5">
      <c r="G357" s="25"/>
    </row>
    <row r="358" spans="7:7" ht="12.5">
      <c r="G358" s="25"/>
    </row>
    <row r="359" spans="7:7" ht="12.5">
      <c r="G359" s="25"/>
    </row>
    <row r="360" spans="7:7" ht="12.5">
      <c r="G360" s="25"/>
    </row>
    <row r="361" spans="7:7" ht="12.5">
      <c r="G361" s="25"/>
    </row>
    <row r="362" spans="7:7" ht="12.5">
      <c r="G362" s="25"/>
    </row>
    <row r="363" spans="7:7" ht="12.5">
      <c r="G363" s="25"/>
    </row>
    <row r="364" spans="7:7" ht="12.5">
      <c r="G364" s="25"/>
    </row>
    <row r="365" spans="7:7" ht="12.5">
      <c r="G365" s="25"/>
    </row>
    <row r="366" spans="7:7" ht="12.5">
      <c r="G366" s="25"/>
    </row>
    <row r="367" spans="7:7" ht="12.5">
      <c r="G367" s="25"/>
    </row>
    <row r="368" spans="7:7" ht="12.5">
      <c r="G368" s="25"/>
    </row>
    <row r="369" spans="7:7" ht="12.5">
      <c r="G369" s="25"/>
    </row>
    <row r="370" spans="7:7" ht="12.5">
      <c r="G370" s="25"/>
    </row>
    <row r="371" spans="7:7" ht="12.5">
      <c r="G371" s="25"/>
    </row>
    <row r="372" spans="7:7" ht="12.5">
      <c r="G372" s="25"/>
    </row>
    <row r="373" spans="7:7" ht="12.5">
      <c r="G373" s="25"/>
    </row>
    <row r="374" spans="7:7" ht="12.5">
      <c r="G374" s="25"/>
    </row>
    <row r="375" spans="7:7" ht="12.5">
      <c r="G375" s="25"/>
    </row>
    <row r="376" spans="7:7" ht="12.5">
      <c r="G376" s="25"/>
    </row>
    <row r="377" spans="7:7" ht="12.5">
      <c r="G377" s="25"/>
    </row>
    <row r="378" spans="7:7" ht="12.5">
      <c r="G378" s="25"/>
    </row>
    <row r="379" spans="7:7" ht="12.5">
      <c r="G379" s="25"/>
    </row>
    <row r="380" spans="7:7" ht="12.5">
      <c r="G380" s="25"/>
    </row>
    <row r="381" spans="7:7" ht="12.5">
      <c r="G381" s="25"/>
    </row>
    <row r="382" spans="7:7" ht="12.5">
      <c r="G382" s="25"/>
    </row>
    <row r="383" spans="7:7" ht="12.5">
      <c r="G383" s="25"/>
    </row>
    <row r="384" spans="7:7" ht="12.5">
      <c r="G384" s="25"/>
    </row>
    <row r="385" spans="7:7" ht="12.5">
      <c r="G385" s="25"/>
    </row>
    <row r="386" spans="7:7" ht="12.5">
      <c r="G386" s="25"/>
    </row>
    <row r="387" spans="7:7" ht="12.5">
      <c r="G387" s="25"/>
    </row>
    <row r="388" spans="7:7" ht="12.5">
      <c r="G388" s="25"/>
    </row>
    <row r="389" spans="7:7" ht="12.5">
      <c r="G389" s="25"/>
    </row>
    <row r="390" spans="7:7" ht="12.5">
      <c r="G390" s="25"/>
    </row>
    <row r="391" spans="7:7" ht="12.5">
      <c r="G391" s="25"/>
    </row>
    <row r="392" spans="7:7" ht="12.5">
      <c r="G392" s="25"/>
    </row>
    <row r="393" spans="7:7" ht="12.5">
      <c r="G393" s="25"/>
    </row>
    <row r="394" spans="7:7" ht="12.5">
      <c r="G394" s="25"/>
    </row>
    <row r="395" spans="7:7" ht="12.5">
      <c r="G395" s="25"/>
    </row>
    <row r="396" spans="7:7" ht="12.5">
      <c r="G396" s="25"/>
    </row>
    <row r="397" spans="7:7" ht="12.5">
      <c r="G397" s="25"/>
    </row>
    <row r="398" spans="7:7" ht="12.5">
      <c r="G398" s="25"/>
    </row>
    <row r="399" spans="7:7" ht="12.5">
      <c r="G399" s="25"/>
    </row>
    <row r="400" spans="7:7" ht="12.5">
      <c r="G400" s="25"/>
    </row>
    <row r="401" spans="7:7" ht="12.5">
      <c r="G401" s="25"/>
    </row>
    <row r="402" spans="7:7" ht="12.5">
      <c r="G402" s="25"/>
    </row>
    <row r="403" spans="7:7" ht="12.5">
      <c r="G403" s="25"/>
    </row>
    <row r="404" spans="7:7" ht="12.5">
      <c r="G404" s="25"/>
    </row>
    <row r="405" spans="7:7" ht="12.5">
      <c r="G405" s="25"/>
    </row>
    <row r="406" spans="7:7" ht="12.5">
      <c r="G406" s="25"/>
    </row>
    <row r="407" spans="7:7" ht="12.5">
      <c r="G407" s="25"/>
    </row>
    <row r="408" spans="7:7" ht="12.5">
      <c r="G408" s="25"/>
    </row>
    <row r="409" spans="7:7" ht="12.5">
      <c r="G409" s="25"/>
    </row>
    <row r="410" spans="7:7" ht="12.5">
      <c r="G410" s="25"/>
    </row>
    <row r="411" spans="7:7" ht="12.5">
      <c r="G411" s="25"/>
    </row>
    <row r="412" spans="7:7" ht="12.5">
      <c r="G412" s="25"/>
    </row>
    <row r="413" spans="7:7" ht="12.5">
      <c r="G413" s="25"/>
    </row>
    <row r="414" spans="7:7" ht="12.5">
      <c r="G414" s="25"/>
    </row>
    <row r="415" spans="7:7" ht="12.5">
      <c r="G415" s="25"/>
    </row>
    <row r="416" spans="7:7" ht="12.5">
      <c r="G416" s="25"/>
    </row>
    <row r="417" spans="7:7" ht="12.5">
      <c r="G417" s="25"/>
    </row>
    <row r="418" spans="7:7" ht="12.5">
      <c r="G418" s="25"/>
    </row>
    <row r="419" spans="7:7" ht="12.5">
      <c r="G419" s="25"/>
    </row>
    <row r="420" spans="7:7" ht="12.5">
      <c r="G420" s="25"/>
    </row>
    <row r="421" spans="7:7" ht="12.5">
      <c r="G421" s="25"/>
    </row>
    <row r="422" spans="7:7" ht="12.5">
      <c r="G422" s="25"/>
    </row>
    <row r="423" spans="7:7" ht="12.5">
      <c r="G423" s="25"/>
    </row>
    <row r="424" spans="7:7" ht="12.5">
      <c r="G424" s="25"/>
    </row>
    <row r="425" spans="7:7" ht="12.5">
      <c r="G425" s="25"/>
    </row>
    <row r="426" spans="7:7" ht="12.5">
      <c r="G426" s="25"/>
    </row>
    <row r="427" spans="7:7" ht="12.5">
      <c r="G427" s="25"/>
    </row>
    <row r="428" spans="7:7" ht="12.5">
      <c r="G428" s="25"/>
    </row>
    <row r="429" spans="7:7" ht="12.5">
      <c r="G429" s="25"/>
    </row>
    <row r="430" spans="7:7" ht="12.5">
      <c r="G430" s="25"/>
    </row>
    <row r="431" spans="7:7" ht="12.5">
      <c r="G431" s="25"/>
    </row>
    <row r="432" spans="7:7" ht="12.5">
      <c r="G432" s="25"/>
    </row>
    <row r="433" spans="7:7" ht="12.5">
      <c r="G433" s="25"/>
    </row>
    <row r="434" spans="7:7" ht="12.5">
      <c r="G434" s="25"/>
    </row>
    <row r="435" spans="7:7" ht="12.5">
      <c r="G435" s="25"/>
    </row>
    <row r="436" spans="7:7" ht="12.5">
      <c r="G436" s="25"/>
    </row>
    <row r="437" spans="7:7" ht="12.5">
      <c r="G437" s="25"/>
    </row>
    <row r="438" spans="7:7" ht="12.5">
      <c r="G438" s="25"/>
    </row>
    <row r="439" spans="7:7" ht="12.5">
      <c r="G439" s="25"/>
    </row>
    <row r="440" spans="7:7" ht="12.5">
      <c r="G440" s="25"/>
    </row>
    <row r="441" spans="7:7" ht="12.5">
      <c r="G441" s="25"/>
    </row>
    <row r="442" spans="7:7" ht="12.5">
      <c r="G442" s="25"/>
    </row>
    <row r="443" spans="7:7" ht="12.5">
      <c r="G443" s="25"/>
    </row>
    <row r="444" spans="7:7" ht="12.5">
      <c r="G444" s="25"/>
    </row>
    <row r="445" spans="7:7" ht="12.5">
      <c r="G445" s="25"/>
    </row>
    <row r="446" spans="7:7" ht="12.5">
      <c r="G446" s="25"/>
    </row>
    <row r="447" spans="7:7" ht="12.5">
      <c r="G447" s="25"/>
    </row>
    <row r="448" spans="7:7" ht="12.5">
      <c r="G448" s="25"/>
    </row>
    <row r="449" spans="7:7" ht="12.5">
      <c r="G449" s="25"/>
    </row>
    <row r="450" spans="7:7" ht="12.5">
      <c r="G450" s="25"/>
    </row>
    <row r="451" spans="7:7" ht="12.5">
      <c r="G451" s="25"/>
    </row>
    <row r="452" spans="7:7" ht="12.5">
      <c r="G452" s="25"/>
    </row>
    <row r="453" spans="7:7" ht="12.5">
      <c r="G453" s="25"/>
    </row>
    <row r="454" spans="7:7" ht="12.5">
      <c r="G454" s="25"/>
    </row>
    <row r="455" spans="7:7" ht="12.5">
      <c r="G455" s="25"/>
    </row>
    <row r="456" spans="7:7" ht="12.5">
      <c r="G456" s="25"/>
    </row>
    <row r="457" spans="7:7" ht="12.5">
      <c r="G457" s="25"/>
    </row>
    <row r="458" spans="7:7" ht="12.5">
      <c r="G458" s="25"/>
    </row>
    <row r="459" spans="7:7" ht="12.5">
      <c r="G459" s="25"/>
    </row>
    <row r="460" spans="7:7" ht="12.5">
      <c r="G460" s="25"/>
    </row>
    <row r="461" spans="7:7" ht="12.5">
      <c r="G461" s="25"/>
    </row>
    <row r="462" spans="7:7" ht="12.5">
      <c r="G462" s="25"/>
    </row>
    <row r="463" spans="7:7" ht="12.5">
      <c r="G463" s="25"/>
    </row>
    <row r="464" spans="7:7" ht="12.5">
      <c r="G464" s="25"/>
    </row>
    <row r="465" spans="7:7" ht="12.5">
      <c r="G465" s="25"/>
    </row>
    <row r="466" spans="7:7" ht="12.5">
      <c r="G466" s="25"/>
    </row>
    <row r="467" spans="7:7" ht="12.5">
      <c r="G467" s="25"/>
    </row>
    <row r="468" spans="7:7" ht="12.5">
      <c r="G468" s="25"/>
    </row>
    <row r="469" spans="7:7" ht="12.5">
      <c r="G469" s="25"/>
    </row>
    <row r="470" spans="7:7" ht="12.5">
      <c r="G470" s="25"/>
    </row>
    <row r="471" spans="7:7" ht="12.5">
      <c r="G471" s="25"/>
    </row>
    <row r="472" spans="7:7" ht="12.5">
      <c r="G472" s="25"/>
    </row>
    <row r="473" spans="7:7" ht="12.5">
      <c r="G473" s="25"/>
    </row>
    <row r="474" spans="7:7" ht="12.5">
      <c r="G474" s="25"/>
    </row>
    <row r="475" spans="7:7" ht="12.5">
      <c r="G475" s="25"/>
    </row>
    <row r="476" spans="7:7" ht="12.5">
      <c r="G476" s="25"/>
    </row>
    <row r="477" spans="7:7" ht="12.5">
      <c r="G477" s="25"/>
    </row>
    <row r="478" spans="7:7" ht="12.5">
      <c r="G478" s="25"/>
    </row>
    <row r="479" spans="7:7" ht="12.5">
      <c r="G479" s="25"/>
    </row>
    <row r="480" spans="7:7" ht="12.5">
      <c r="G480" s="25"/>
    </row>
    <row r="481" spans="7:7" ht="12.5">
      <c r="G481" s="25"/>
    </row>
    <row r="482" spans="7:7" ht="12.5">
      <c r="G482" s="25"/>
    </row>
    <row r="483" spans="7:7" ht="12.5">
      <c r="G483" s="25"/>
    </row>
    <row r="484" spans="7:7" ht="12.5">
      <c r="G484" s="25"/>
    </row>
    <row r="485" spans="7:7" ht="12.5">
      <c r="G485" s="25"/>
    </row>
    <row r="486" spans="7:7" ht="12.5">
      <c r="G486" s="25"/>
    </row>
    <row r="487" spans="7:7" ht="12.5">
      <c r="G487" s="25"/>
    </row>
    <row r="488" spans="7:7" ht="12.5">
      <c r="G488" s="25"/>
    </row>
    <row r="489" spans="7:7" ht="12.5">
      <c r="G489" s="25"/>
    </row>
    <row r="490" spans="7:7" ht="12.5">
      <c r="G490" s="25"/>
    </row>
    <row r="491" spans="7:7" ht="12.5">
      <c r="G491" s="25"/>
    </row>
    <row r="492" spans="7:7" ht="12.5">
      <c r="G492" s="25"/>
    </row>
    <row r="493" spans="7:7" ht="12.5">
      <c r="G493" s="25"/>
    </row>
    <row r="494" spans="7:7" ht="12.5">
      <c r="G494" s="25"/>
    </row>
    <row r="495" spans="7:7" ht="12.5">
      <c r="G495" s="25"/>
    </row>
    <row r="496" spans="7:7" ht="12.5">
      <c r="G496" s="25"/>
    </row>
    <row r="497" spans="7:7" ht="12.5">
      <c r="G497" s="25"/>
    </row>
    <row r="498" spans="7:7" ht="12.5">
      <c r="G498" s="25"/>
    </row>
    <row r="499" spans="7:7" ht="12.5">
      <c r="G499" s="25"/>
    </row>
    <row r="500" spans="7:7" ht="12.5">
      <c r="G500" s="25"/>
    </row>
    <row r="501" spans="7:7" ht="12.5">
      <c r="G501" s="25"/>
    </row>
    <row r="502" spans="7:7" ht="12.5">
      <c r="G502" s="25"/>
    </row>
    <row r="503" spans="7:7" ht="12.5">
      <c r="G503" s="25"/>
    </row>
    <row r="504" spans="7:7" ht="12.5">
      <c r="G504" s="25"/>
    </row>
    <row r="505" spans="7:7" ht="12.5">
      <c r="G505" s="25"/>
    </row>
    <row r="506" spans="7:7" ht="12.5">
      <c r="G506" s="25"/>
    </row>
    <row r="507" spans="7:7" ht="12.5">
      <c r="G507" s="25"/>
    </row>
    <row r="508" spans="7:7" ht="12.5">
      <c r="G508" s="25"/>
    </row>
    <row r="509" spans="7:7" ht="12.5">
      <c r="G509" s="25"/>
    </row>
    <row r="510" spans="7:7" ht="12.5">
      <c r="G510" s="25"/>
    </row>
    <row r="511" spans="7:7" ht="12.5">
      <c r="G511" s="25"/>
    </row>
    <row r="512" spans="7:7" ht="12.5">
      <c r="G512" s="25"/>
    </row>
    <row r="513" spans="7:7" ht="12.5">
      <c r="G513" s="25"/>
    </row>
    <row r="514" spans="7:7" ht="12.5">
      <c r="G514" s="25"/>
    </row>
    <row r="515" spans="7:7" ht="12.5">
      <c r="G515" s="25"/>
    </row>
    <row r="516" spans="7:7" ht="12.5">
      <c r="G516" s="25"/>
    </row>
    <row r="517" spans="7:7" ht="12.5">
      <c r="G517" s="25"/>
    </row>
    <row r="518" spans="7:7" ht="12.5">
      <c r="G518" s="25"/>
    </row>
    <row r="519" spans="7:7" ht="12.5">
      <c r="G519" s="25"/>
    </row>
    <row r="520" spans="7:7" ht="12.5">
      <c r="G520" s="25"/>
    </row>
    <row r="521" spans="7:7" ht="12.5">
      <c r="G521" s="25"/>
    </row>
    <row r="522" spans="7:7" ht="12.5">
      <c r="G522" s="25"/>
    </row>
    <row r="523" spans="7:7" ht="12.5">
      <c r="G523" s="25"/>
    </row>
    <row r="524" spans="7:7" ht="12.5">
      <c r="G524" s="25"/>
    </row>
    <row r="525" spans="7:7" ht="12.5">
      <c r="G525" s="25"/>
    </row>
    <row r="526" spans="7:7" ht="12.5">
      <c r="G526" s="25"/>
    </row>
    <row r="527" spans="7:7" ht="12.5">
      <c r="G527" s="25"/>
    </row>
    <row r="528" spans="7:7" ht="12.5">
      <c r="G528" s="25"/>
    </row>
    <row r="529" spans="7:7" ht="12.5">
      <c r="G529" s="25"/>
    </row>
    <row r="530" spans="7:7" ht="12.5">
      <c r="G530" s="25"/>
    </row>
    <row r="531" spans="7:7" ht="12.5">
      <c r="G531" s="25"/>
    </row>
    <row r="532" spans="7:7" ht="12.5">
      <c r="G532" s="25"/>
    </row>
    <row r="533" spans="7:7" ht="12.5">
      <c r="G533" s="25"/>
    </row>
    <row r="534" spans="7:7" ht="12.5">
      <c r="G534" s="25"/>
    </row>
    <row r="535" spans="7:7" ht="12.5">
      <c r="G535" s="25"/>
    </row>
    <row r="536" spans="7:7" ht="12.5">
      <c r="G536" s="25"/>
    </row>
    <row r="537" spans="7:7" ht="12.5">
      <c r="G537" s="25"/>
    </row>
    <row r="538" spans="7:7" ht="12.5">
      <c r="G538" s="25"/>
    </row>
    <row r="539" spans="7:7" ht="12.5">
      <c r="G539" s="25"/>
    </row>
    <row r="540" spans="7:7" ht="12.5">
      <c r="G540" s="25"/>
    </row>
    <row r="541" spans="7:7" ht="12.5">
      <c r="G541" s="25"/>
    </row>
    <row r="542" spans="7:7" ht="12.5">
      <c r="G542" s="25"/>
    </row>
    <row r="543" spans="7:7" ht="12.5">
      <c r="G543" s="25"/>
    </row>
    <row r="544" spans="7:7" ht="12.5">
      <c r="G544" s="25"/>
    </row>
    <row r="545" spans="7:7" ht="12.5">
      <c r="G545" s="25"/>
    </row>
    <row r="546" spans="7:7" ht="12.5">
      <c r="G546" s="25"/>
    </row>
    <row r="547" spans="7:7" ht="12.5">
      <c r="G547" s="25"/>
    </row>
    <row r="548" spans="7:7" ht="12.5">
      <c r="G548" s="25"/>
    </row>
    <row r="549" spans="7:7" ht="12.5">
      <c r="G549" s="25"/>
    </row>
    <row r="550" spans="7:7" ht="12.5">
      <c r="G550" s="25"/>
    </row>
    <row r="551" spans="7:7" ht="12.5">
      <c r="G551" s="25"/>
    </row>
    <row r="552" spans="7:7" ht="12.5">
      <c r="G552" s="25"/>
    </row>
    <row r="553" spans="7:7" ht="12.5">
      <c r="G553" s="25"/>
    </row>
    <row r="554" spans="7:7" ht="12.5">
      <c r="G554" s="25"/>
    </row>
    <row r="555" spans="7:7" ht="12.5">
      <c r="G555" s="25"/>
    </row>
    <row r="556" spans="7:7" ht="12.5">
      <c r="G556" s="25"/>
    </row>
    <row r="557" spans="7:7" ht="12.5">
      <c r="G557" s="25"/>
    </row>
    <row r="558" spans="7:7" ht="12.5">
      <c r="G558" s="25"/>
    </row>
    <row r="559" spans="7:7" ht="12.5">
      <c r="G559" s="25"/>
    </row>
    <row r="560" spans="7:7" ht="12.5">
      <c r="G560" s="25"/>
    </row>
    <row r="561" spans="7:7" ht="12.5">
      <c r="G561" s="25"/>
    </row>
    <row r="562" spans="7:7" ht="12.5">
      <c r="G562" s="25"/>
    </row>
    <row r="563" spans="7:7" ht="12.5">
      <c r="G563" s="25"/>
    </row>
    <row r="564" spans="7:7" ht="12.5">
      <c r="G564" s="25"/>
    </row>
    <row r="565" spans="7:7" ht="12.5">
      <c r="G565" s="25"/>
    </row>
    <row r="566" spans="7:7" ht="12.5">
      <c r="G566" s="25"/>
    </row>
    <row r="567" spans="7:7" ht="12.5">
      <c r="G567" s="25"/>
    </row>
    <row r="568" spans="7:7" ht="12.5">
      <c r="G568" s="25"/>
    </row>
    <row r="569" spans="7:7" ht="12.5">
      <c r="G569" s="25"/>
    </row>
    <row r="570" spans="7:7" ht="12.5">
      <c r="G570" s="25"/>
    </row>
    <row r="571" spans="7:7" ht="12.5">
      <c r="G571" s="25"/>
    </row>
    <row r="572" spans="7:7" ht="12.5">
      <c r="G572" s="25"/>
    </row>
    <row r="573" spans="7:7" ht="12.5">
      <c r="G573" s="25"/>
    </row>
    <row r="574" spans="7:7" ht="12.5">
      <c r="G574" s="25"/>
    </row>
    <row r="575" spans="7:7" ht="12.5">
      <c r="G575" s="25"/>
    </row>
    <row r="576" spans="7:7" ht="12.5">
      <c r="G576" s="25"/>
    </row>
    <row r="577" spans="7:7" ht="12.5">
      <c r="G577" s="25"/>
    </row>
    <row r="578" spans="7:7" ht="12.5">
      <c r="G578" s="25"/>
    </row>
    <row r="579" spans="7:7" ht="12.5">
      <c r="G579" s="25"/>
    </row>
    <row r="580" spans="7:7" ht="12.5">
      <c r="G580" s="25"/>
    </row>
    <row r="581" spans="7:7" ht="12.5">
      <c r="G581" s="25"/>
    </row>
    <row r="582" spans="7:7" ht="12.5">
      <c r="G582" s="25"/>
    </row>
    <row r="583" spans="7:7" ht="12.5">
      <c r="G583" s="25"/>
    </row>
    <row r="584" spans="7:7" ht="12.5">
      <c r="G584" s="25"/>
    </row>
    <row r="585" spans="7:7" ht="12.5">
      <c r="G585" s="25"/>
    </row>
    <row r="586" spans="7:7" ht="12.5">
      <c r="G586" s="25"/>
    </row>
    <row r="587" spans="7:7" ht="12.5">
      <c r="G587" s="25"/>
    </row>
    <row r="588" spans="7:7" ht="12.5">
      <c r="G588" s="25"/>
    </row>
    <row r="589" spans="7:7" ht="12.5">
      <c r="G589" s="25"/>
    </row>
    <row r="590" spans="7:7" ht="12.5">
      <c r="G590" s="25"/>
    </row>
    <row r="591" spans="7:7" ht="12.5">
      <c r="G591" s="25"/>
    </row>
    <row r="592" spans="7:7" ht="12.5">
      <c r="G592" s="25"/>
    </row>
    <row r="593" spans="7:7" ht="12.5">
      <c r="G593" s="25"/>
    </row>
    <row r="594" spans="7:7" ht="12.5">
      <c r="G594" s="25"/>
    </row>
    <row r="595" spans="7:7" ht="12.5">
      <c r="G595" s="25"/>
    </row>
    <row r="596" spans="7:7" ht="12.5">
      <c r="G596" s="25"/>
    </row>
    <row r="597" spans="7:7" ht="12.5">
      <c r="G597" s="25"/>
    </row>
    <row r="598" spans="7:7" ht="12.5">
      <c r="G598" s="25"/>
    </row>
    <row r="599" spans="7:7" ht="12.5">
      <c r="G599" s="25"/>
    </row>
    <row r="600" spans="7:7" ht="12.5">
      <c r="G600" s="25"/>
    </row>
    <row r="601" spans="7:7" ht="12.5">
      <c r="G601" s="25"/>
    </row>
    <row r="602" spans="7:7" ht="12.5">
      <c r="G602" s="25"/>
    </row>
    <row r="603" spans="7:7" ht="12.5">
      <c r="G603" s="25"/>
    </row>
    <row r="604" spans="7:7" ht="12.5">
      <c r="G604" s="25"/>
    </row>
    <row r="605" spans="7:7" ht="12.5">
      <c r="G605" s="25"/>
    </row>
    <row r="606" spans="7:7" ht="12.5">
      <c r="G606" s="25"/>
    </row>
    <row r="607" spans="7:7" ht="12.5">
      <c r="G607" s="25"/>
    </row>
    <row r="608" spans="7:7" ht="12.5">
      <c r="G608" s="25"/>
    </row>
    <row r="609" spans="7:7" ht="12.5">
      <c r="G609" s="25"/>
    </row>
    <row r="610" spans="7:7" ht="12.5">
      <c r="G610" s="25"/>
    </row>
    <row r="611" spans="7:7" ht="12.5">
      <c r="G611" s="25"/>
    </row>
    <row r="612" spans="7:7" ht="12.5">
      <c r="G612" s="25"/>
    </row>
    <row r="613" spans="7:7" ht="12.5">
      <c r="G613" s="25"/>
    </row>
    <row r="614" spans="7:7" ht="12.5">
      <c r="G614" s="25"/>
    </row>
    <row r="615" spans="7:7" ht="12.5">
      <c r="G615" s="25"/>
    </row>
    <row r="616" spans="7:7" ht="12.5">
      <c r="G616" s="25"/>
    </row>
    <row r="617" spans="7:7" ht="12.5">
      <c r="G617" s="25"/>
    </row>
    <row r="618" spans="7:7" ht="12.5">
      <c r="G618" s="25"/>
    </row>
    <row r="619" spans="7:7" ht="12.5">
      <c r="G619" s="25"/>
    </row>
    <row r="620" spans="7:7" ht="12.5">
      <c r="G620" s="25"/>
    </row>
    <row r="621" spans="7:7" ht="12.5">
      <c r="G621" s="25"/>
    </row>
    <row r="622" spans="7:7" ht="12.5">
      <c r="G622" s="25"/>
    </row>
    <row r="623" spans="7:7" ht="12.5">
      <c r="G623" s="25"/>
    </row>
    <row r="624" spans="7:7" ht="12.5">
      <c r="G624" s="25"/>
    </row>
    <row r="625" spans="7:7" ht="12.5">
      <c r="G625" s="25"/>
    </row>
    <row r="626" spans="7:7" ht="12.5">
      <c r="G626" s="25"/>
    </row>
    <row r="627" spans="7:7" ht="12.5">
      <c r="G627" s="25"/>
    </row>
    <row r="628" spans="7:7" ht="12.5">
      <c r="G628" s="25"/>
    </row>
    <row r="629" spans="7:7" ht="12.5">
      <c r="G629" s="25"/>
    </row>
    <row r="630" spans="7:7" ht="12.5">
      <c r="G630" s="25"/>
    </row>
    <row r="631" spans="7:7" ht="12.5">
      <c r="G631" s="25"/>
    </row>
    <row r="632" spans="7:7" ht="12.5">
      <c r="G632" s="25"/>
    </row>
    <row r="633" spans="7:7" ht="12.5">
      <c r="G633" s="25"/>
    </row>
    <row r="634" spans="7:7" ht="12.5">
      <c r="G634" s="25"/>
    </row>
    <row r="635" spans="7:7" ht="12.5">
      <c r="G635" s="25"/>
    </row>
    <row r="636" spans="7:7" ht="12.5">
      <c r="G636" s="25"/>
    </row>
    <row r="637" spans="7:7" ht="12.5">
      <c r="G637" s="25"/>
    </row>
    <row r="638" spans="7:7" ht="12.5">
      <c r="G638" s="25"/>
    </row>
    <row r="639" spans="7:7" ht="12.5">
      <c r="G639" s="25"/>
    </row>
    <row r="640" spans="7:7" ht="12.5">
      <c r="G640" s="25"/>
    </row>
    <row r="641" spans="7:7" ht="12.5">
      <c r="G641" s="25"/>
    </row>
    <row r="642" spans="7:7" ht="12.5">
      <c r="G642" s="25"/>
    </row>
    <row r="643" spans="7:7" ht="12.5">
      <c r="G643" s="25"/>
    </row>
    <row r="644" spans="7:7" ht="12.5">
      <c r="G644" s="25"/>
    </row>
    <row r="645" spans="7:7" ht="12.5">
      <c r="G645" s="25"/>
    </row>
    <row r="646" spans="7:7" ht="12.5">
      <c r="G646" s="25"/>
    </row>
    <row r="647" spans="7:7" ht="12.5">
      <c r="G647" s="25"/>
    </row>
    <row r="648" spans="7:7" ht="12.5">
      <c r="G648" s="25"/>
    </row>
    <row r="649" spans="7:7" ht="12.5">
      <c r="G649" s="25"/>
    </row>
    <row r="650" spans="7:7" ht="12.5">
      <c r="G650" s="25"/>
    </row>
    <row r="651" spans="7:7" ht="12.5">
      <c r="G651" s="25"/>
    </row>
    <row r="652" spans="7:7" ht="12.5">
      <c r="G652" s="25"/>
    </row>
    <row r="653" spans="7:7" ht="12.5">
      <c r="G653" s="25"/>
    </row>
    <row r="654" spans="7:7" ht="12.5">
      <c r="G654" s="25"/>
    </row>
    <row r="655" spans="7:7" ht="12.5">
      <c r="G655" s="25"/>
    </row>
    <row r="656" spans="7:7" ht="12.5">
      <c r="G656" s="25"/>
    </row>
    <row r="657" spans="7:7" ht="12.5">
      <c r="G657" s="25"/>
    </row>
    <row r="658" spans="7:7" ht="12.5">
      <c r="G658" s="25"/>
    </row>
    <row r="659" spans="7:7" ht="12.5">
      <c r="G659" s="25"/>
    </row>
    <row r="660" spans="7:7" ht="12.5">
      <c r="G660" s="25"/>
    </row>
    <row r="661" spans="7:7" ht="12.5">
      <c r="G661" s="25"/>
    </row>
    <row r="662" spans="7:7" ht="12.5">
      <c r="G662" s="25"/>
    </row>
    <row r="663" spans="7:7" ht="12.5">
      <c r="G663" s="25"/>
    </row>
    <row r="664" spans="7:7" ht="12.5">
      <c r="G664" s="25"/>
    </row>
    <row r="665" spans="7:7" ht="12.5">
      <c r="G665" s="25"/>
    </row>
    <row r="666" spans="7:7" ht="12.5">
      <c r="G666" s="25"/>
    </row>
    <row r="667" spans="7:7" ht="12.5">
      <c r="G667" s="25"/>
    </row>
    <row r="668" spans="7:7" ht="12.5">
      <c r="G668" s="25"/>
    </row>
    <row r="669" spans="7:7" ht="12.5">
      <c r="G669" s="25"/>
    </row>
    <row r="670" spans="7:7" ht="12.5">
      <c r="G670" s="25"/>
    </row>
    <row r="671" spans="7:7" ht="12.5">
      <c r="G671" s="25"/>
    </row>
    <row r="672" spans="7:7" ht="12.5">
      <c r="G672" s="25"/>
    </row>
    <row r="673" spans="7:7" ht="12.5">
      <c r="G673" s="25"/>
    </row>
    <row r="674" spans="7:7" ht="12.5">
      <c r="G674" s="25"/>
    </row>
    <row r="675" spans="7:7" ht="12.5">
      <c r="G675" s="25"/>
    </row>
    <row r="676" spans="7:7" ht="12.5">
      <c r="G676" s="25"/>
    </row>
    <row r="677" spans="7:7" ht="12.5">
      <c r="G677" s="25"/>
    </row>
    <row r="678" spans="7:7" ht="12.5">
      <c r="G678" s="25"/>
    </row>
    <row r="679" spans="7:7" ht="12.5">
      <c r="G679" s="25"/>
    </row>
    <row r="680" spans="7:7" ht="12.5">
      <c r="G680" s="25"/>
    </row>
    <row r="681" spans="7:7" ht="12.5">
      <c r="G681" s="25"/>
    </row>
    <row r="682" spans="7:7" ht="12.5">
      <c r="G682" s="25"/>
    </row>
    <row r="683" spans="7:7" ht="12.5">
      <c r="G683" s="25"/>
    </row>
    <row r="684" spans="7:7" ht="12.5">
      <c r="G684" s="25"/>
    </row>
    <row r="685" spans="7:7" ht="12.5">
      <c r="G685" s="25"/>
    </row>
    <row r="686" spans="7:7" ht="12.5">
      <c r="G686" s="25"/>
    </row>
    <row r="687" spans="7:7" ht="12.5">
      <c r="G687" s="25"/>
    </row>
    <row r="688" spans="7:7" ht="12.5">
      <c r="G688" s="25"/>
    </row>
    <row r="689" spans="7:7" ht="12.5">
      <c r="G689" s="25"/>
    </row>
    <row r="690" spans="7:7" ht="12.5">
      <c r="G690" s="25"/>
    </row>
    <row r="691" spans="7:7" ht="12.5">
      <c r="G691" s="25"/>
    </row>
    <row r="692" spans="7:7" ht="12.5">
      <c r="G692" s="25"/>
    </row>
    <row r="693" spans="7:7" ht="12.5">
      <c r="G693" s="25"/>
    </row>
    <row r="694" spans="7:7" ht="12.5">
      <c r="G694" s="25"/>
    </row>
    <row r="695" spans="7:7" ht="12.5">
      <c r="G695" s="25"/>
    </row>
    <row r="696" spans="7:7" ht="12.5">
      <c r="G696" s="25"/>
    </row>
    <row r="697" spans="7:7" ht="12.5">
      <c r="G697" s="25"/>
    </row>
    <row r="698" spans="7:7" ht="12.5">
      <c r="G698" s="25"/>
    </row>
    <row r="699" spans="7:7" ht="12.5">
      <c r="G699" s="25"/>
    </row>
    <row r="700" spans="7:7" ht="12.5">
      <c r="G700" s="25"/>
    </row>
    <row r="701" spans="7:7" ht="12.5">
      <c r="G701" s="25"/>
    </row>
    <row r="702" spans="7:7" ht="12.5">
      <c r="G702" s="25"/>
    </row>
    <row r="703" spans="7:7" ht="12.5">
      <c r="G703" s="25"/>
    </row>
    <row r="704" spans="7:7" ht="12.5">
      <c r="G704" s="25"/>
    </row>
    <row r="705" spans="7:7" ht="12.5">
      <c r="G705" s="25"/>
    </row>
    <row r="706" spans="7:7" ht="12.5">
      <c r="G706" s="25"/>
    </row>
    <row r="707" spans="7:7" ht="12.5">
      <c r="G707" s="25"/>
    </row>
    <row r="708" spans="7:7" ht="12.5">
      <c r="G708" s="25"/>
    </row>
    <row r="709" spans="7:7" ht="12.5">
      <c r="G709" s="25"/>
    </row>
    <row r="710" spans="7:7" ht="12.5">
      <c r="G710" s="25"/>
    </row>
    <row r="711" spans="7:7" ht="12.5">
      <c r="G711" s="25"/>
    </row>
    <row r="712" spans="7:7" ht="12.5">
      <c r="G712" s="25"/>
    </row>
    <row r="713" spans="7:7" ht="12.5">
      <c r="G713" s="25"/>
    </row>
    <row r="714" spans="7:7" ht="12.5">
      <c r="G714" s="25"/>
    </row>
    <row r="715" spans="7:7" ht="12.5">
      <c r="G715" s="25"/>
    </row>
    <row r="716" spans="7:7" ht="12.5">
      <c r="G716" s="25"/>
    </row>
    <row r="717" spans="7:7" ht="12.5">
      <c r="G717" s="25"/>
    </row>
    <row r="718" spans="7:7" ht="12.5">
      <c r="G718" s="25"/>
    </row>
    <row r="719" spans="7:7" ht="12.5">
      <c r="G719" s="25"/>
    </row>
    <row r="720" spans="7:7" ht="12.5">
      <c r="G720" s="25"/>
    </row>
    <row r="721" spans="7:7" ht="12.5">
      <c r="G721" s="25"/>
    </row>
    <row r="722" spans="7:7" ht="12.5">
      <c r="G722" s="25"/>
    </row>
    <row r="723" spans="7:7" ht="12.5">
      <c r="G723" s="25"/>
    </row>
    <row r="724" spans="7:7" ht="12.5">
      <c r="G724" s="25"/>
    </row>
    <row r="725" spans="7:7" ht="12.5">
      <c r="G725" s="25"/>
    </row>
    <row r="726" spans="7:7" ht="12.5">
      <c r="G726" s="25"/>
    </row>
    <row r="727" spans="7:7" ht="12.5">
      <c r="G727" s="25"/>
    </row>
    <row r="728" spans="7:7" ht="12.5">
      <c r="G728" s="25"/>
    </row>
    <row r="729" spans="7:7" ht="12.5">
      <c r="G729" s="25"/>
    </row>
    <row r="730" spans="7:7" ht="12.5">
      <c r="G730" s="25"/>
    </row>
    <row r="731" spans="7:7" ht="12.5">
      <c r="G731" s="25"/>
    </row>
    <row r="732" spans="7:7" ht="12.5">
      <c r="G732" s="25"/>
    </row>
    <row r="733" spans="7:7" ht="12.5">
      <c r="G733" s="25"/>
    </row>
    <row r="734" spans="7:7" ht="12.5">
      <c r="G734" s="25"/>
    </row>
    <row r="735" spans="7:7" ht="12.5">
      <c r="G735" s="25"/>
    </row>
    <row r="736" spans="7:7" ht="12.5">
      <c r="G736" s="25"/>
    </row>
    <row r="737" spans="7:7" ht="12.5">
      <c r="G737" s="25"/>
    </row>
    <row r="738" spans="7:7" ht="12.5">
      <c r="G738" s="25"/>
    </row>
    <row r="739" spans="7:7" ht="12.5">
      <c r="G739" s="25"/>
    </row>
    <row r="740" spans="7:7" ht="12.5">
      <c r="G740" s="25"/>
    </row>
    <row r="741" spans="7:7" ht="12.5">
      <c r="G741" s="25"/>
    </row>
    <row r="742" spans="7:7" ht="12.5">
      <c r="G742" s="25"/>
    </row>
    <row r="743" spans="7:7" ht="12.5">
      <c r="G743" s="25"/>
    </row>
    <row r="744" spans="7:7" ht="12.5">
      <c r="G744" s="25"/>
    </row>
    <row r="745" spans="7:7" ht="12.5">
      <c r="G745" s="25"/>
    </row>
    <row r="746" spans="7:7" ht="12.5">
      <c r="G746" s="25"/>
    </row>
    <row r="747" spans="7:7" ht="12.5">
      <c r="G747" s="25"/>
    </row>
    <row r="748" spans="7:7" ht="12.5">
      <c r="G748" s="25"/>
    </row>
    <row r="749" spans="7:7" ht="12.5">
      <c r="G749" s="25"/>
    </row>
    <row r="750" spans="7:7" ht="12.5">
      <c r="G750" s="25"/>
    </row>
    <row r="751" spans="7:7" ht="12.5">
      <c r="G751" s="25"/>
    </row>
    <row r="752" spans="7:7" ht="12.5">
      <c r="G752" s="25"/>
    </row>
    <row r="753" spans="7:7" ht="12.5">
      <c r="G753" s="25"/>
    </row>
    <row r="754" spans="7:7" ht="12.5">
      <c r="G754" s="25"/>
    </row>
    <row r="755" spans="7:7" ht="12.5">
      <c r="G755" s="25"/>
    </row>
    <row r="756" spans="7:7" ht="12.5">
      <c r="G756" s="25"/>
    </row>
    <row r="757" spans="7:7" ht="12.5">
      <c r="G757" s="25"/>
    </row>
    <row r="758" spans="7:7" ht="12.5">
      <c r="G758" s="25"/>
    </row>
    <row r="759" spans="7:7" ht="12.5">
      <c r="G759" s="25"/>
    </row>
    <row r="760" spans="7:7" ht="12.5">
      <c r="G760" s="25"/>
    </row>
    <row r="761" spans="7:7" ht="12.5">
      <c r="G761" s="25"/>
    </row>
    <row r="762" spans="7:7" ht="12.5">
      <c r="G762" s="25"/>
    </row>
    <row r="763" spans="7:7" ht="12.5">
      <c r="G763" s="25"/>
    </row>
    <row r="764" spans="7:7" ht="12.5">
      <c r="G764" s="25"/>
    </row>
    <row r="765" spans="7:7" ht="12.5">
      <c r="G765" s="25"/>
    </row>
    <row r="766" spans="7:7" ht="12.5">
      <c r="G766" s="25"/>
    </row>
    <row r="767" spans="7:7" ht="12.5">
      <c r="G767" s="25"/>
    </row>
    <row r="768" spans="7:7" ht="12.5">
      <c r="G768" s="25"/>
    </row>
    <row r="769" spans="7:7" ht="12.5">
      <c r="G769" s="25"/>
    </row>
    <row r="770" spans="7:7" ht="12.5">
      <c r="G770" s="25"/>
    </row>
    <row r="771" spans="7:7" ht="12.5">
      <c r="G771" s="25"/>
    </row>
    <row r="772" spans="7:7" ht="12.5">
      <c r="G772" s="25"/>
    </row>
    <row r="773" spans="7:7" ht="12.5">
      <c r="G773" s="25"/>
    </row>
    <row r="774" spans="7:7" ht="12.5">
      <c r="G774" s="25"/>
    </row>
    <row r="775" spans="7:7" ht="12.5">
      <c r="G775" s="25"/>
    </row>
    <row r="776" spans="7:7" ht="12.5">
      <c r="G776" s="25"/>
    </row>
    <row r="777" spans="7:7" ht="12.5">
      <c r="G777" s="25"/>
    </row>
    <row r="778" spans="7:7" ht="12.5">
      <c r="G778" s="25"/>
    </row>
    <row r="779" spans="7:7" ht="12.5">
      <c r="G779" s="25"/>
    </row>
    <row r="780" spans="7:7" ht="12.5">
      <c r="G780" s="25"/>
    </row>
    <row r="781" spans="7:7" ht="12.5">
      <c r="G781" s="25"/>
    </row>
    <row r="782" spans="7:7" ht="12.5">
      <c r="G782" s="25"/>
    </row>
    <row r="783" spans="7:7" ht="12.5">
      <c r="G783" s="25"/>
    </row>
    <row r="784" spans="7:7" ht="12.5">
      <c r="G784" s="25"/>
    </row>
    <row r="785" spans="7:7" ht="12.5">
      <c r="G785" s="25"/>
    </row>
    <row r="786" spans="7:7" ht="12.5">
      <c r="G786" s="25"/>
    </row>
    <row r="787" spans="7:7" ht="12.5">
      <c r="G787" s="25"/>
    </row>
    <row r="788" spans="7:7" ht="12.5">
      <c r="G788" s="25"/>
    </row>
    <row r="789" spans="7:7" ht="12.5">
      <c r="G789" s="25"/>
    </row>
    <row r="790" spans="7:7" ht="12.5">
      <c r="G790" s="25"/>
    </row>
    <row r="791" spans="7:7" ht="12.5">
      <c r="G791" s="25"/>
    </row>
    <row r="792" spans="7:7" ht="12.5">
      <c r="G792" s="25"/>
    </row>
    <row r="793" spans="7:7" ht="12.5">
      <c r="G793" s="25"/>
    </row>
    <row r="794" spans="7:7" ht="12.5">
      <c r="G794" s="25"/>
    </row>
    <row r="795" spans="7:7" ht="12.5">
      <c r="G795" s="25"/>
    </row>
    <row r="796" spans="7:7" ht="12.5">
      <c r="G796" s="25"/>
    </row>
    <row r="797" spans="7:7" ht="12.5">
      <c r="G797" s="25"/>
    </row>
    <row r="798" spans="7:7" ht="12.5">
      <c r="G798" s="25"/>
    </row>
    <row r="799" spans="7:7" ht="12.5">
      <c r="G799" s="25"/>
    </row>
    <row r="800" spans="7:7" ht="12.5">
      <c r="G800" s="25"/>
    </row>
    <row r="801" spans="7:7" ht="12.5">
      <c r="G801" s="25"/>
    </row>
    <row r="802" spans="7:7" ht="12.5">
      <c r="G802" s="25"/>
    </row>
    <row r="803" spans="7:7" ht="12.5">
      <c r="G803" s="25"/>
    </row>
    <row r="804" spans="7:7" ht="12.5">
      <c r="G804" s="25"/>
    </row>
    <row r="805" spans="7:7" ht="12.5">
      <c r="G805" s="25"/>
    </row>
    <row r="806" spans="7:7" ht="12.5">
      <c r="G806" s="25"/>
    </row>
    <row r="807" spans="7:7" ht="12.5">
      <c r="G807" s="25"/>
    </row>
    <row r="808" spans="7:7" ht="12.5">
      <c r="G808" s="25"/>
    </row>
    <row r="809" spans="7:7" ht="12.5">
      <c r="G809" s="25"/>
    </row>
    <row r="810" spans="7:7" ht="12.5">
      <c r="G810" s="25"/>
    </row>
    <row r="811" spans="7:7" ht="12.5">
      <c r="G811" s="25"/>
    </row>
    <row r="812" spans="7:7" ht="12.5">
      <c r="G812" s="25"/>
    </row>
    <row r="813" spans="7:7" ht="12.5">
      <c r="G813" s="25"/>
    </row>
    <row r="814" spans="7:7" ht="12.5">
      <c r="G814" s="25"/>
    </row>
    <row r="815" spans="7:7" ht="12.5">
      <c r="G815" s="25"/>
    </row>
    <row r="816" spans="7:7" ht="12.5">
      <c r="G816" s="25"/>
    </row>
    <row r="817" spans="7:7" ht="12.5">
      <c r="G817" s="25"/>
    </row>
    <row r="818" spans="7:7" ht="12.5">
      <c r="G818" s="25"/>
    </row>
    <row r="819" spans="7:7" ht="12.5">
      <c r="G819" s="25"/>
    </row>
    <row r="820" spans="7:7" ht="12.5">
      <c r="G820" s="25"/>
    </row>
    <row r="821" spans="7:7" ht="12.5">
      <c r="G821" s="25"/>
    </row>
    <row r="822" spans="7:7" ht="12.5">
      <c r="G822" s="25"/>
    </row>
    <row r="823" spans="7:7" ht="12.5">
      <c r="G823" s="25"/>
    </row>
    <row r="824" spans="7:7" ht="12.5">
      <c r="G824" s="25"/>
    </row>
    <row r="825" spans="7:7" ht="12.5">
      <c r="G825" s="25"/>
    </row>
    <row r="826" spans="7:7" ht="12.5">
      <c r="G826" s="25"/>
    </row>
    <row r="827" spans="7:7" ht="12.5">
      <c r="G827" s="25"/>
    </row>
    <row r="828" spans="7:7" ht="12.5">
      <c r="G828" s="25"/>
    </row>
    <row r="829" spans="7:7" ht="12.5">
      <c r="G829" s="25"/>
    </row>
    <row r="830" spans="7:7" ht="12.5">
      <c r="G830" s="25"/>
    </row>
    <row r="831" spans="7:7" ht="12.5">
      <c r="G831" s="25"/>
    </row>
    <row r="832" spans="7:7" ht="12.5">
      <c r="G832" s="25"/>
    </row>
    <row r="833" spans="7:7" ht="12.5">
      <c r="G833" s="25"/>
    </row>
    <row r="834" spans="7:7" ht="12.5">
      <c r="G834" s="25"/>
    </row>
    <row r="835" spans="7:7" ht="12.5">
      <c r="G835" s="25"/>
    </row>
    <row r="836" spans="7:7" ht="12.5">
      <c r="G836" s="25"/>
    </row>
    <row r="837" spans="7:7" ht="12.5">
      <c r="G837" s="25"/>
    </row>
    <row r="838" spans="7:7" ht="12.5">
      <c r="G838" s="25"/>
    </row>
    <row r="839" spans="7:7" ht="12.5">
      <c r="G839" s="25"/>
    </row>
    <row r="840" spans="7:7" ht="12.5">
      <c r="G840" s="25"/>
    </row>
    <row r="841" spans="7:7" ht="12.5">
      <c r="G841" s="25"/>
    </row>
    <row r="842" spans="7:7" ht="12.5">
      <c r="G842" s="25"/>
    </row>
    <row r="843" spans="7:7" ht="12.5">
      <c r="G843" s="25"/>
    </row>
    <row r="844" spans="7:7" ht="12.5">
      <c r="G844" s="25"/>
    </row>
    <row r="845" spans="7:7" ht="12.5">
      <c r="G845" s="25"/>
    </row>
    <row r="846" spans="7:7" ht="12.5">
      <c r="G846" s="25"/>
    </row>
    <row r="847" spans="7:7" ht="12.5">
      <c r="G847" s="25"/>
    </row>
    <row r="848" spans="7:7" ht="12.5">
      <c r="G848" s="25"/>
    </row>
    <row r="849" spans="7:7" ht="12.5">
      <c r="G849" s="25"/>
    </row>
    <row r="850" spans="7:7" ht="12.5">
      <c r="G850" s="25"/>
    </row>
    <row r="851" spans="7:7" ht="12.5">
      <c r="G851" s="25"/>
    </row>
    <row r="852" spans="7:7" ht="12.5">
      <c r="G852" s="25"/>
    </row>
    <row r="853" spans="7:7" ht="12.5">
      <c r="G853" s="25"/>
    </row>
    <row r="854" spans="7:7" ht="12.5">
      <c r="G854" s="25"/>
    </row>
    <row r="855" spans="7:7" ht="12.5">
      <c r="G855" s="25"/>
    </row>
    <row r="856" spans="7:7" ht="12.5">
      <c r="G856" s="25"/>
    </row>
    <row r="857" spans="7:7" ht="12.5">
      <c r="G857" s="25"/>
    </row>
    <row r="858" spans="7:7" ht="12.5">
      <c r="G858" s="25"/>
    </row>
    <row r="859" spans="7:7" ht="12.5">
      <c r="G859" s="25"/>
    </row>
    <row r="860" spans="7:7" ht="12.5">
      <c r="G860" s="25"/>
    </row>
    <row r="861" spans="7:7" ht="12.5">
      <c r="G861" s="25"/>
    </row>
    <row r="862" spans="7:7" ht="12.5">
      <c r="G862" s="25"/>
    </row>
    <row r="863" spans="7:7" ht="12.5">
      <c r="G863" s="25"/>
    </row>
    <row r="864" spans="7:7" ht="12.5">
      <c r="G864" s="25"/>
    </row>
    <row r="865" spans="7:7" ht="12.5">
      <c r="G865" s="25"/>
    </row>
    <row r="866" spans="7:7" ht="12.5">
      <c r="G866" s="25"/>
    </row>
    <row r="867" spans="7:7" ht="12.5">
      <c r="G867" s="25"/>
    </row>
    <row r="868" spans="7:7" ht="12.5">
      <c r="G868" s="25"/>
    </row>
    <row r="869" spans="7:7" ht="12.5">
      <c r="G869" s="25"/>
    </row>
    <row r="870" spans="7:7" ht="12.5">
      <c r="G870" s="25"/>
    </row>
    <row r="871" spans="7:7" ht="12.5">
      <c r="G871" s="25"/>
    </row>
    <row r="872" spans="7:7" ht="12.5">
      <c r="G872" s="25"/>
    </row>
    <row r="873" spans="7:7" ht="12.5">
      <c r="G873" s="25"/>
    </row>
    <row r="874" spans="7:7" ht="12.5">
      <c r="G874" s="25"/>
    </row>
    <row r="875" spans="7:7" ht="12.5">
      <c r="G875" s="25"/>
    </row>
    <row r="876" spans="7:7" ht="12.5">
      <c r="G876" s="25"/>
    </row>
    <row r="877" spans="7:7" ht="12.5">
      <c r="G877" s="25"/>
    </row>
    <row r="878" spans="7:7" ht="12.5">
      <c r="G878" s="25"/>
    </row>
    <row r="879" spans="7:7" ht="12.5">
      <c r="G879" s="25"/>
    </row>
    <row r="880" spans="7:7" ht="12.5">
      <c r="G880" s="25"/>
    </row>
    <row r="881" spans="7:7" ht="12.5">
      <c r="G881" s="25"/>
    </row>
    <row r="882" spans="7:7" ht="12.5">
      <c r="G882" s="25"/>
    </row>
    <row r="883" spans="7:7" ht="12.5">
      <c r="G883" s="25"/>
    </row>
    <row r="884" spans="7:7" ht="12.5">
      <c r="G884" s="25"/>
    </row>
    <row r="885" spans="7:7" ht="12.5">
      <c r="G885" s="25"/>
    </row>
    <row r="886" spans="7:7" ht="12.5">
      <c r="G886" s="25"/>
    </row>
    <row r="887" spans="7:7" ht="12.5">
      <c r="G887" s="25"/>
    </row>
    <row r="888" spans="7:7" ht="12.5">
      <c r="G888" s="25"/>
    </row>
    <row r="889" spans="7:7" ht="12.5">
      <c r="G889" s="25"/>
    </row>
    <row r="890" spans="7:7" ht="12.5">
      <c r="G890" s="25"/>
    </row>
    <row r="891" spans="7:7" ht="12.5">
      <c r="G891" s="25"/>
    </row>
    <row r="892" spans="7:7" ht="12.5">
      <c r="G892" s="25"/>
    </row>
    <row r="893" spans="7:7" ht="12.5">
      <c r="G893" s="25"/>
    </row>
    <row r="894" spans="7:7" ht="12.5">
      <c r="G894" s="25"/>
    </row>
    <row r="895" spans="7:7" ht="12.5">
      <c r="G895" s="25"/>
    </row>
    <row r="896" spans="7:7" ht="12.5">
      <c r="G896" s="25"/>
    </row>
    <row r="897" spans="7:7" ht="12.5">
      <c r="G897" s="25"/>
    </row>
    <row r="898" spans="7:7" ht="12.5">
      <c r="G898" s="25"/>
    </row>
    <row r="899" spans="7:7" ht="12.5">
      <c r="G899" s="25"/>
    </row>
    <row r="900" spans="7:7" ht="12.5">
      <c r="G900" s="25"/>
    </row>
    <row r="901" spans="7:7" ht="12.5">
      <c r="G901" s="25"/>
    </row>
    <row r="902" spans="7:7" ht="12.5">
      <c r="G902" s="25"/>
    </row>
    <row r="903" spans="7:7" ht="12.5">
      <c r="G903" s="25"/>
    </row>
    <row r="904" spans="7:7" ht="12.5">
      <c r="G904" s="25"/>
    </row>
    <row r="905" spans="7:7" ht="12.5">
      <c r="G905" s="25"/>
    </row>
    <row r="906" spans="7:7" ht="12.5">
      <c r="G906" s="25"/>
    </row>
    <row r="907" spans="7:7" ht="12.5">
      <c r="G907" s="25"/>
    </row>
    <row r="908" spans="7:7" ht="12.5">
      <c r="G908" s="25"/>
    </row>
    <row r="909" spans="7:7" ht="12.5">
      <c r="G909" s="25"/>
    </row>
    <row r="910" spans="7:7" ht="12.5">
      <c r="G910" s="25"/>
    </row>
    <row r="911" spans="7:7" ht="12.5">
      <c r="G911" s="25"/>
    </row>
    <row r="912" spans="7:7" ht="12.5">
      <c r="G912" s="25"/>
    </row>
    <row r="913" spans="7:7" ht="12.5">
      <c r="G913" s="25"/>
    </row>
    <row r="914" spans="7:7" ht="12.5">
      <c r="G914" s="25"/>
    </row>
    <row r="915" spans="7:7" ht="12.5">
      <c r="G915" s="25"/>
    </row>
    <row r="916" spans="7:7" ht="12.5">
      <c r="G916" s="25"/>
    </row>
    <row r="917" spans="7:7" ht="12.5">
      <c r="G917" s="25"/>
    </row>
    <row r="918" spans="7:7" ht="12.5">
      <c r="G918" s="25"/>
    </row>
    <row r="919" spans="7:7" ht="12.5">
      <c r="G919" s="25"/>
    </row>
    <row r="920" spans="7:7" ht="12.5">
      <c r="G920" s="25"/>
    </row>
    <row r="921" spans="7:7" ht="12.5">
      <c r="G921" s="25"/>
    </row>
    <row r="922" spans="7:7" ht="12.5">
      <c r="G922" s="25"/>
    </row>
    <row r="923" spans="7:7" ht="12.5">
      <c r="G923" s="25"/>
    </row>
    <row r="924" spans="7:7" ht="12.5">
      <c r="G924" s="25"/>
    </row>
    <row r="925" spans="7:7" ht="12.5">
      <c r="G925" s="25"/>
    </row>
    <row r="926" spans="7:7" ht="12.5">
      <c r="G926" s="25"/>
    </row>
    <row r="927" spans="7:7" ht="12.5">
      <c r="G927" s="25"/>
    </row>
    <row r="928" spans="7:7" ht="12.5">
      <c r="G928" s="25"/>
    </row>
    <row r="929" spans="7:7" ht="12.5">
      <c r="G929" s="25"/>
    </row>
    <row r="930" spans="7:7" ht="12.5">
      <c r="G930" s="25"/>
    </row>
    <row r="931" spans="7:7" ht="12.5">
      <c r="G931" s="25"/>
    </row>
    <row r="932" spans="7:7" ht="12.5">
      <c r="G932" s="25"/>
    </row>
    <row r="933" spans="7:7" ht="12.5">
      <c r="G933" s="25"/>
    </row>
    <row r="934" spans="7:7" ht="12.5">
      <c r="G934" s="25"/>
    </row>
    <row r="935" spans="7:7" ht="12.5">
      <c r="G935" s="25"/>
    </row>
    <row r="936" spans="7:7" ht="12.5">
      <c r="G936" s="25"/>
    </row>
    <row r="937" spans="7:7" ht="12.5">
      <c r="G937" s="25"/>
    </row>
    <row r="938" spans="7:7" ht="12.5">
      <c r="G938" s="25"/>
    </row>
    <row r="939" spans="7:7" ht="12.5">
      <c r="G939" s="25"/>
    </row>
    <row r="940" spans="7:7" ht="12.5">
      <c r="G940" s="25"/>
    </row>
    <row r="941" spans="7:7" ht="12.5">
      <c r="G941" s="25"/>
    </row>
    <row r="942" spans="7:7" ht="12.5">
      <c r="G942" s="25"/>
    </row>
    <row r="943" spans="7:7" ht="12.5">
      <c r="G943" s="25"/>
    </row>
    <row r="944" spans="7:7" ht="12.5">
      <c r="G944" s="25"/>
    </row>
    <row r="945" spans="7:7" ht="12.5">
      <c r="G945" s="25"/>
    </row>
    <row r="946" spans="7:7" ht="12.5">
      <c r="G946" s="25"/>
    </row>
    <row r="947" spans="7:7" ht="12.5">
      <c r="G947" s="25"/>
    </row>
    <row r="948" spans="7:7" ht="12.5">
      <c r="G948" s="25"/>
    </row>
    <row r="949" spans="7:7" ht="12.5">
      <c r="G949" s="25"/>
    </row>
    <row r="950" spans="7:7" ht="12.5">
      <c r="G950" s="25"/>
    </row>
    <row r="951" spans="7:7" ht="12.5">
      <c r="G951" s="25"/>
    </row>
    <row r="952" spans="7:7" ht="12.5">
      <c r="G952" s="25"/>
    </row>
    <row r="953" spans="7:7" ht="12.5">
      <c r="G953" s="25"/>
    </row>
    <row r="954" spans="7:7" ht="12.5">
      <c r="G954" s="25"/>
    </row>
    <row r="955" spans="7:7" ht="12.5">
      <c r="G955" s="25"/>
    </row>
    <row r="956" spans="7:7" ht="12.5">
      <c r="G956" s="25"/>
    </row>
    <row r="957" spans="7:7" ht="12.5">
      <c r="G957" s="25"/>
    </row>
    <row r="958" spans="7:7" ht="12.5">
      <c r="G958" s="25"/>
    </row>
    <row r="959" spans="7:7" ht="12.5">
      <c r="G959" s="25"/>
    </row>
    <row r="960" spans="7:7" ht="12.5">
      <c r="G960" s="25"/>
    </row>
    <row r="961" spans="7:7" ht="12.5">
      <c r="G961" s="25"/>
    </row>
    <row r="962" spans="7:7" ht="12.5">
      <c r="G962" s="25"/>
    </row>
    <row r="963" spans="7:7" ht="12.5">
      <c r="G963" s="25"/>
    </row>
    <row r="964" spans="7:7" ht="12.5">
      <c r="G964" s="25"/>
    </row>
    <row r="965" spans="7:7" ht="12.5">
      <c r="G965" s="25"/>
    </row>
    <row r="966" spans="7:7" ht="12.5">
      <c r="G966" s="25"/>
    </row>
    <row r="967" spans="7:7" ht="12.5">
      <c r="G967" s="25"/>
    </row>
    <row r="968" spans="7:7" ht="12.5">
      <c r="G968" s="25"/>
    </row>
    <row r="969" spans="7:7" ht="12.5">
      <c r="G969" s="25"/>
    </row>
    <row r="970" spans="7:7" ht="12.5">
      <c r="G970" s="25"/>
    </row>
    <row r="971" spans="7:7" ht="12.5">
      <c r="G971" s="25"/>
    </row>
    <row r="972" spans="7:7" ht="12.5">
      <c r="G972" s="25"/>
    </row>
    <row r="973" spans="7:7" ht="12.5">
      <c r="G973" s="25"/>
    </row>
    <row r="974" spans="7:7" ht="12.5">
      <c r="G974" s="25"/>
    </row>
    <row r="975" spans="7:7" ht="12.5">
      <c r="G975" s="25"/>
    </row>
    <row r="976" spans="7:7" ht="12.5">
      <c r="G976" s="25"/>
    </row>
    <row r="977" spans="7:7" ht="12.5">
      <c r="G977" s="25"/>
    </row>
    <row r="978" spans="7:7" ht="12.5">
      <c r="G978" s="25"/>
    </row>
    <row r="979" spans="7:7" ht="12.5">
      <c r="G979" s="25"/>
    </row>
    <row r="980" spans="7:7" ht="12.5">
      <c r="G980" s="25"/>
    </row>
    <row r="981" spans="7:7" ht="12.5">
      <c r="G981" s="25"/>
    </row>
    <row r="982" spans="7:7" ht="12.5">
      <c r="G982" s="25"/>
    </row>
    <row r="983" spans="7:7" ht="12.5">
      <c r="G983" s="25"/>
    </row>
    <row r="984" spans="7:7" ht="12.5">
      <c r="G984" s="25"/>
    </row>
    <row r="985" spans="7:7" ht="12.5">
      <c r="G985" s="25"/>
    </row>
    <row r="986" spans="7:7" ht="12.5">
      <c r="G986" s="25"/>
    </row>
    <row r="987" spans="7:7" ht="12.5">
      <c r="G987" s="25"/>
    </row>
    <row r="988" spans="7:7" ht="12.5">
      <c r="G988" s="25"/>
    </row>
    <row r="989" spans="7:7" ht="12.5">
      <c r="G989" s="25"/>
    </row>
    <row r="990" spans="7:7" ht="12.5">
      <c r="G990" s="25"/>
    </row>
    <row r="991" spans="7:7" ht="12.5">
      <c r="G991" s="25"/>
    </row>
    <row r="992" spans="7:7" ht="12.5">
      <c r="G992" s="25"/>
    </row>
    <row r="993" spans="7:7" ht="12.5">
      <c r="G993" s="25"/>
    </row>
    <row r="994" spans="7:7" ht="12.5">
      <c r="G994" s="25"/>
    </row>
    <row r="995" spans="7:7" ht="12.5">
      <c r="G995" s="25"/>
    </row>
    <row r="996" spans="7:7" ht="12.5">
      <c r="G996" s="25"/>
    </row>
    <row r="997" spans="7:7" ht="12.5">
      <c r="G997" s="25"/>
    </row>
    <row r="998" spans="7:7" ht="12.5">
      <c r="G998" s="25"/>
    </row>
    <row r="999" spans="7:7" ht="12.5">
      <c r="G999" s="25"/>
    </row>
    <row r="1000" spans="7:7" ht="12.5">
      <c r="G1000" s="25"/>
    </row>
    <row r="1001" spans="7:7" ht="12.5">
      <c r="G1001" s="25"/>
    </row>
  </sheetData>
  <conditionalFormatting sqref="H2:I20">
    <cfRule type="cellIs" dxfId="1" priority="1" operator="greaterThanOrEqual">
      <formula>0</formula>
    </cfRule>
    <cfRule type="cellIs" dxfId="0" priority="2" operator="lessThan">
      <formula>0</formula>
    </cfRule>
  </conditionalFormatting>
  <conditionalFormatting sqref="I2:I19">
    <cfRule type="colorScale" priority="3">
      <colorScale>
        <cfvo type="min"/>
        <cfvo type="max"/>
        <color rgb="FFB7E1CD"/>
        <color rgb="FF356854"/>
      </colorScale>
    </cfRule>
  </conditionalFormatting>
  <dataValidations count="2">
    <dataValidation type="custom" allowBlank="1" showDropDown="1" sqref="F2:F20 H2:I20" xr:uid="{00000000-0002-0000-0200-000000000000}">
      <formula1>AND(ISNUMBER(F2),(NOT(OR(NOT(ISERROR(DATEVALUE(F2))), AND(ISNUMBER(F2), LEFT(CELL("format", F2))="D")))))</formula1>
    </dataValidation>
    <dataValidation allowBlank="1" showDropDown="1" sqref="A2:A20" xr:uid="{00000000-0002-0000-0200-000001000000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42"/>
  <sheetViews>
    <sheetView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/>
  <sheetData>
    <row r="1" spans="1:15" ht="15.75" customHeight="1">
      <c r="A1" s="46" t="s">
        <v>71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26"/>
      <c r="O1" s="26"/>
    </row>
    <row r="2" spans="1:15" ht="15.75" customHeight="1">
      <c r="A2" s="48" t="s">
        <v>72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26"/>
      <c r="O2" s="26"/>
    </row>
    <row r="3" spans="1:15" ht="15.75" customHeight="1">
      <c r="A3" s="27" t="s">
        <v>73</v>
      </c>
      <c r="B3" s="27" t="s">
        <v>74</v>
      </c>
      <c r="C3" s="27" t="s">
        <v>66</v>
      </c>
      <c r="D3" s="27" t="s">
        <v>75</v>
      </c>
      <c r="E3" s="27" t="s">
        <v>76</v>
      </c>
      <c r="F3" s="27" t="s">
        <v>77</v>
      </c>
      <c r="G3" s="27" t="s">
        <v>78</v>
      </c>
      <c r="H3" s="27" t="s">
        <v>79</v>
      </c>
      <c r="I3" s="27" t="s">
        <v>80</v>
      </c>
      <c r="J3" s="27" t="s">
        <v>81</v>
      </c>
      <c r="K3" s="27" t="s">
        <v>82</v>
      </c>
      <c r="L3" s="27" t="s">
        <v>83</v>
      </c>
      <c r="M3" s="27" t="s">
        <v>84</v>
      </c>
      <c r="N3" s="26"/>
      <c r="O3" s="28" t="s">
        <v>85</v>
      </c>
    </row>
    <row r="4" spans="1:15" ht="15.75" customHeight="1">
      <c r="A4" s="49" t="s">
        <v>86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26"/>
      <c r="O4" s="26" t="s">
        <v>87</v>
      </c>
    </row>
    <row r="5" spans="1:15" ht="15.75" customHeight="1">
      <c r="A5" s="29" t="s">
        <v>88</v>
      </c>
      <c r="B5" s="29" t="s">
        <v>89</v>
      </c>
      <c r="C5" s="30">
        <v>15149120</v>
      </c>
      <c r="D5" s="30" t="s">
        <v>90</v>
      </c>
      <c r="E5" s="31">
        <v>225</v>
      </c>
      <c r="F5" s="32">
        <v>70</v>
      </c>
      <c r="G5" s="33">
        <v>15750</v>
      </c>
      <c r="H5" s="33">
        <v>1102.82</v>
      </c>
      <c r="I5" s="33">
        <v>16852.82</v>
      </c>
      <c r="J5" s="33">
        <v>240.75</v>
      </c>
      <c r="K5" s="31">
        <v>310</v>
      </c>
      <c r="L5" s="31">
        <v>285</v>
      </c>
      <c r="M5" s="34">
        <v>0.155</v>
      </c>
      <c r="N5" s="26"/>
      <c r="O5" s="26" t="s">
        <v>91</v>
      </c>
    </row>
    <row r="6" spans="1:15" ht="15.75" customHeight="1">
      <c r="A6" s="35" t="s">
        <v>92</v>
      </c>
      <c r="B6" s="35" t="s">
        <v>89</v>
      </c>
      <c r="C6" s="36">
        <v>15081000</v>
      </c>
      <c r="D6" s="36" t="s">
        <v>90</v>
      </c>
      <c r="E6" s="37">
        <v>260</v>
      </c>
      <c r="F6" s="38">
        <v>30</v>
      </c>
      <c r="G6" s="33">
        <v>7800</v>
      </c>
      <c r="H6" s="33">
        <v>546.16</v>
      </c>
      <c r="I6" s="33">
        <v>8346.16</v>
      </c>
      <c r="J6" s="33">
        <v>278.20999999999998</v>
      </c>
      <c r="K6" s="37">
        <v>339</v>
      </c>
      <c r="L6" s="37">
        <v>325</v>
      </c>
      <c r="M6" s="39">
        <v>0.14399999999999999</v>
      </c>
      <c r="N6" s="26"/>
      <c r="O6" s="26" t="s">
        <v>93</v>
      </c>
    </row>
    <row r="7" spans="1:15" ht="15.75" customHeight="1">
      <c r="A7" s="29" t="s">
        <v>94</v>
      </c>
      <c r="B7" s="29" t="s">
        <v>89</v>
      </c>
      <c r="C7" s="30">
        <v>15131100</v>
      </c>
      <c r="D7" s="30" t="s">
        <v>95</v>
      </c>
      <c r="E7" s="31">
        <v>57</v>
      </c>
      <c r="F7" s="32">
        <v>100</v>
      </c>
      <c r="G7" s="33">
        <v>5700</v>
      </c>
      <c r="H7" s="33">
        <v>399.11</v>
      </c>
      <c r="I7" s="33">
        <v>6099.11</v>
      </c>
      <c r="J7" s="33">
        <v>60.99</v>
      </c>
      <c r="K7" s="31">
        <v>159</v>
      </c>
      <c r="L7" s="31">
        <v>109</v>
      </c>
      <c r="M7" s="34">
        <v>0.44</v>
      </c>
      <c r="N7" s="26"/>
      <c r="O7" s="26" t="s">
        <v>96</v>
      </c>
    </row>
    <row r="8" spans="1:15" ht="15.75" customHeight="1">
      <c r="A8" s="35" t="s">
        <v>97</v>
      </c>
      <c r="B8" s="35" t="s">
        <v>89</v>
      </c>
      <c r="C8" s="36">
        <v>15155099</v>
      </c>
      <c r="D8" s="36" t="s">
        <v>95</v>
      </c>
      <c r="E8" s="37">
        <v>40</v>
      </c>
      <c r="F8" s="38">
        <v>100</v>
      </c>
      <c r="G8" s="33">
        <v>4000</v>
      </c>
      <c r="H8" s="33">
        <v>280.08</v>
      </c>
      <c r="I8" s="33">
        <v>4280.08</v>
      </c>
      <c r="J8" s="33">
        <v>42.8</v>
      </c>
      <c r="K8" s="37">
        <v>159</v>
      </c>
      <c r="L8" s="37">
        <v>109</v>
      </c>
      <c r="M8" s="39">
        <v>0.60699999999999998</v>
      </c>
      <c r="N8" s="26"/>
      <c r="O8" s="26" t="s">
        <v>98</v>
      </c>
    </row>
    <row r="9" spans="1:15" ht="15.75" customHeight="1">
      <c r="A9" s="29" t="s">
        <v>99</v>
      </c>
      <c r="B9" s="29" t="s">
        <v>89</v>
      </c>
      <c r="C9" s="30">
        <v>4059020</v>
      </c>
      <c r="D9" s="30" t="s">
        <v>90</v>
      </c>
      <c r="E9" s="31">
        <v>1200</v>
      </c>
      <c r="F9" s="32">
        <v>60</v>
      </c>
      <c r="G9" s="33">
        <v>72000</v>
      </c>
      <c r="H9" s="33">
        <v>5041.45</v>
      </c>
      <c r="I9" s="33">
        <v>77041.45</v>
      </c>
      <c r="J9" s="33">
        <v>1284.02</v>
      </c>
      <c r="K9" s="31">
        <v>2099</v>
      </c>
      <c r="L9" s="31">
        <v>1699</v>
      </c>
      <c r="M9" s="34">
        <v>0.24399999999999999</v>
      </c>
      <c r="N9" s="26"/>
      <c r="O9" s="26" t="s">
        <v>100</v>
      </c>
    </row>
    <row r="10" spans="1:15" ht="15.75" customHeight="1">
      <c r="A10" s="35" t="s">
        <v>101</v>
      </c>
      <c r="B10" s="35" t="s">
        <v>89</v>
      </c>
      <c r="C10" s="36">
        <v>1101</v>
      </c>
      <c r="D10" s="36" t="s">
        <v>102</v>
      </c>
      <c r="E10" s="37">
        <v>95</v>
      </c>
      <c r="F10" s="38">
        <v>100</v>
      </c>
      <c r="G10" s="33">
        <v>9500</v>
      </c>
      <c r="H10" s="33">
        <v>665.19</v>
      </c>
      <c r="I10" s="33">
        <v>10165.19</v>
      </c>
      <c r="J10" s="33">
        <v>101.65</v>
      </c>
      <c r="K10" s="37">
        <v>159</v>
      </c>
      <c r="L10" s="37">
        <v>149</v>
      </c>
      <c r="M10" s="39">
        <v>0.318</v>
      </c>
      <c r="N10" s="26"/>
      <c r="O10" s="26" t="s">
        <v>103</v>
      </c>
    </row>
    <row r="11" spans="1:15" ht="15.75" customHeight="1">
      <c r="A11" s="29" t="s">
        <v>101</v>
      </c>
      <c r="B11" s="29" t="s">
        <v>89</v>
      </c>
      <c r="C11" s="30">
        <v>1101</v>
      </c>
      <c r="D11" s="30" t="s">
        <v>104</v>
      </c>
      <c r="E11" s="31">
        <v>95</v>
      </c>
      <c r="F11" s="32">
        <v>100</v>
      </c>
      <c r="G11" s="33">
        <v>9500</v>
      </c>
      <c r="H11" s="33">
        <v>665.19</v>
      </c>
      <c r="I11" s="33">
        <v>10165.19</v>
      </c>
      <c r="J11" s="33">
        <v>101.65</v>
      </c>
      <c r="K11" s="31">
        <v>269</v>
      </c>
      <c r="L11" s="31">
        <v>249</v>
      </c>
      <c r="M11" s="34">
        <v>0.59199999999999997</v>
      </c>
      <c r="N11" s="26"/>
      <c r="O11" s="26"/>
    </row>
    <row r="12" spans="1:15" ht="15.75" customHeight="1">
      <c r="A12" s="49" t="s">
        <v>105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26"/>
      <c r="O12" s="26"/>
    </row>
    <row r="13" spans="1:15" ht="15.75" customHeight="1">
      <c r="A13" s="29" t="s">
        <v>88</v>
      </c>
      <c r="B13" s="29" t="s">
        <v>106</v>
      </c>
      <c r="C13" s="30">
        <v>15149120</v>
      </c>
      <c r="D13" s="30" t="s">
        <v>90</v>
      </c>
      <c r="E13" s="31">
        <v>208</v>
      </c>
      <c r="F13" s="32">
        <v>50</v>
      </c>
      <c r="G13" s="33">
        <v>10400</v>
      </c>
      <c r="H13" s="33">
        <v>2079.37</v>
      </c>
      <c r="I13" s="33">
        <v>12479.37</v>
      </c>
      <c r="J13" s="33">
        <v>249.59</v>
      </c>
      <c r="K13" s="31">
        <v>440</v>
      </c>
      <c r="L13" s="31">
        <v>340</v>
      </c>
      <c r="M13" s="34">
        <v>0.26600000000000001</v>
      </c>
      <c r="N13" s="26"/>
      <c r="O13" s="26"/>
    </row>
    <row r="14" spans="1:15" ht="15.75" customHeight="1">
      <c r="A14" s="35" t="s">
        <v>92</v>
      </c>
      <c r="B14" s="35" t="s">
        <v>106</v>
      </c>
      <c r="C14" s="36">
        <v>15089010</v>
      </c>
      <c r="D14" s="36" t="s">
        <v>90</v>
      </c>
      <c r="E14" s="31">
        <v>215</v>
      </c>
      <c r="F14" s="38">
        <v>25</v>
      </c>
      <c r="G14" s="33">
        <v>5375</v>
      </c>
      <c r="H14" s="33">
        <v>1074.67</v>
      </c>
      <c r="I14" s="33">
        <v>6449.67</v>
      </c>
      <c r="J14" s="33">
        <v>257.99</v>
      </c>
      <c r="K14" s="31">
        <v>469</v>
      </c>
      <c r="L14" s="31">
        <v>350</v>
      </c>
      <c r="M14" s="39">
        <v>0.26300000000000001</v>
      </c>
      <c r="N14" s="26"/>
      <c r="O14" s="26"/>
    </row>
    <row r="15" spans="1:15" ht="15.75" customHeight="1">
      <c r="A15" s="29" t="s">
        <v>107</v>
      </c>
      <c r="B15" s="29" t="s">
        <v>106</v>
      </c>
      <c r="C15" s="30">
        <v>15121910</v>
      </c>
      <c r="D15" s="30" t="s">
        <v>90</v>
      </c>
      <c r="E15" s="31">
        <v>219</v>
      </c>
      <c r="F15" s="32">
        <v>25</v>
      </c>
      <c r="G15" s="33">
        <v>5475</v>
      </c>
      <c r="H15" s="33">
        <v>1094.67</v>
      </c>
      <c r="I15" s="33">
        <v>6569.67</v>
      </c>
      <c r="J15" s="33">
        <v>262.79000000000002</v>
      </c>
      <c r="K15" s="31">
        <v>469</v>
      </c>
      <c r="L15" s="31">
        <v>350</v>
      </c>
      <c r="M15" s="34">
        <v>0.249</v>
      </c>
      <c r="N15" s="26"/>
      <c r="O15" s="26"/>
    </row>
    <row r="16" spans="1:15" ht="15.75" customHeight="1">
      <c r="A16" s="35" t="s">
        <v>108</v>
      </c>
      <c r="B16" s="35" t="s">
        <v>106</v>
      </c>
      <c r="C16" s="36">
        <v>7139010</v>
      </c>
      <c r="D16" s="36" t="s">
        <v>102</v>
      </c>
      <c r="E16" s="31">
        <v>80</v>
      </c>
      <c r="F16" s="38">
        <v>40</v>
      </c>
      <c r="G16" s="33">
        <v>3200</v>
      </c>
      <c r="H16" s="33">
        <v>639.79999999999995</v>
      </c>
      <c r="I16" s="33">
        <v>3839.8</v>
      </c>
      <c r="J16" s="33">
        <v>96</v>
      </c>
      <c r="K16" s="31">
        <v>189</v>
      </c>
      <c r="L16" s="31">
        <v>150</v>
      </c>
      <c r="M16" s="39">
        <v>0.36</v>
      </c>
      <c r="N16" s="26"/>
      <c r="O16" s="26"/>
    </row>
    <row r="17" spans="1:15" ht="15.75" customHeight="1">
      <c r="A17" s="29" t="s">
        <v>109</v>
      </c>
      <c r="B17" s="29" t="s">
        <v>106</v>
      </c>
      <c r="C17" s="30">
        <v>7136000</v>
      </c>
      <c r="D17" s="30" t="s">
        <v>102</v>
      </c>
      <c r="E17" s="31">
        <v>139</v>
      </c>
      <c r="F17" s="32">
        <v>50</v>
      </c>
      <c r="G17" s="33">
        <v>6950</v>
      </c>
      <c r="H17" s="33">
        <v>1389.58</v>
      </c>
      <c r="I17" s="33">
        <v>8339.58</v>
      </c>
      <c r="J17" s="33">
        <v>166.79</v>
      </c>
      <c r="K17" s="31">
        <v>239</v>
      </c>
      <c r="L17" s="31">
        <v>199</v>
      </c>
      <c r="M17" s="34">
        <v>0.16200000000000001</v>
      </c>
      <c r="N17" s="26"/>
      <c r="O17" s="26"/>
    </row>
    <row r="18" spans="1:15" ht="15.75" customHeight="1">
      <c r="A18" s="35" t="s">
        <v>110</v>
      </c>
      <c r="B18" s="35" t="s">
        <v>106</v>
      </c>
      <c r="C18" s="36">
        <v>7134000</v>
      </c>
      <c r="D18" s="36" t="s">
        <v>102</v>
      </c>
      <c r="E18" s="31">
        <v>97</v>
      </c>
      <c r="F18" s="38">
        <v>40</v>
      </c>
      <c r="G18" s="33">
        <v>3880</v>
      </c>
      <c r="H18" s="33">
        <v>775.76</v>
      </c>
      <c r="I18" s="33">
        <v>4655.76</v>
      </c>
      <c r="J18" s="33">
        <v>116.39</v>
      </c>
      <c r="K18" s="31">
        <v>219</v>
      </c>
      <c r="L18" s="31">
        <v>180</v>
      </c>
      <c r="M18" s="39">
        <v>0.35299999999999998</v>
      </c>
      <c r="N18" s="26"/>
      <c r="O18" s="26"/>
    </row>
    <row r="19" spans="1:15" ht="15.75" customHeight="1">
      <c r="A19" s="29" t="s">
        <v>111</v>
      </c>
      <c r="B19" s="29" t="s">
        <v>106</v>
      </c>
      <c r="C19" s="30">
        <v>7133100</v>
      </c>
      <c r="D19" s="30" t="s">
        <v>102</v>
      </c>
      <c r="E19" s="31">
        <v>114</v>
      </c>
      <c r="F19" s="32">
        <v>40</v>
      </c>
      <c r="G19" s="33">
        <v>4560</v>
      </c>
      <c r="H19" s="33">
        <v>911.72</v>
      </c>
      <c r="I19" s="33">
        <v>5471.72</v>
      </c>
      <c r="J19" s="33">
        <v>136.79</v>
      </c>
      <c r="K19" s="31">
        <v>219</v>
      </c>
      <c r="L19" s="31">
        <v>180</v>
      </c>
      <c r="M19" s="34">
        <v>0.24</v>
      </c>
      <c r="N19" s="26"/>
      <c r="O19" s="26"/>
    </row>
    <row r="20" spans="1:15" ht="15.75" customHeight="1">
      <c r="A20" s="35" t="s">
        <v>112</v>
      </c>
      <c r="B20" s="35" t="s">
        <v>106</v>
      </c>
      <c r="C20" s="36">
        <v>10063010</v>
      </c>
      <c r="D20" s="36" t="s">
        <v>102</v>
      </c>
      <c r="E20" s="31">
        <v>64</v>
      </c>
      <c r="F20" s="38">
        <v>60</v>
      </c>
      <c r="G20" s="33">
        <v>3840</v>
      </c>
      <c r="H20" s="33">
        <v>767.77</v>
      </c>
      <c r="I20" s="33">
        <v>4607.7700000000004</v>
      </c>
      <c r="J20" s="33">
        <v>76.8</v>
      </c>
      <c r="K20" s="31">
        <v>139</v>
      </c>
      <c r="L20" s="31">
        <v>100</v>
      </c>
      <c r="M20" s="39">
        <v>0.23200000000000001</v>
      </c>
      <c r="N20" s="26"/>
      <c r="O20" s="26"/>
    </row>
    <row r="21" spans="1:15" ht="15.75" customHeight="1">
      <c r="A21" s="29" t="s">
        <v>113</v>
      </c>
      <c r="B21" s="29" t="s">
        <v>106</v>
      </c>
      <c r="C21" s="30">
        <v>10063020</v>
      </c>
      <c r="D21" s="30" t="s">
        <v>102</v>
      </c>
      <c r="E21" s="31">
        <v>120</v>
      </c>
      <c r="F21" s="32">
        <v>10</v>
      </c>
      <c r="G21" s="33">
        <v>1200</v>
      </c>
      <c r="H21" s="33">
        <v>239.93</v>
      </c>
      <c r="I21" s="33">
        <v>1439.93</v>
      </c>
      <c r="J21" s="33">
        <v>143.99</v>
      </c>
      <c r="K21" s="31">
        <v>210</v>
      </c>
      <c r="L21" s="31">
        <v>210</v>
      </c>
      <c r="M21" s="34">
        <v>0.314</v>
      </c>
      <c r="N21" s="26"/>
      <c r="O21" s="26"/>
    </row>
    <row r="22" spans="1:15" ht="15.75" customHeight="1">
      <c r="A22" s="49" t="s">
        <v>114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26"/>
      <c r="O22" s="26"/>
    </row>
    <row r="23" spans="1:15" ht="15.75" customHeight="1">
      <c r="A23" s="29" t="s">
        <v>115</v>
      </c>
      <c r="B23" s="29" t="s">
        <v>116</v>
      </c>
      <c r="C23" s="30" t="s">
        <v>117</v>
      </c>
      <c r="D23" s="30" t="s">
        <v>102</v>
      </c>
      <c r="E23" s="31">
        <v>88.23</v>
      </c>
      <c r="F23" s="32">
        <v>1</v>
      </c>
      <c r="G23" s="33">
        <v>88.23</v>
      </c>
      <c r="H23" s="33">
        <v>0</v>
      </c>
      <c r="I23" s="33">
        <v>88.23</v>
      </c>
      <c r="J23" s="33">
        <v>88.23</v>
      </c>
      <c r="K23" s="31">
        <v>259</v>
      </c>
      <c r="L23" s="31">
        <v>240</v>
      </c>
      <c r="M23" s="34">
        <v>0.63200000000000001</v>
      </c>
      <c r="N23" s="26"/>
      <c r="O23" s="26"/>
    </row>
    <row r="24" spans="1:15" ht="15.75" customHeight="1">
      <c r="A24" s="35" t="s">
        <v>118</v>
      </c>
      <c r="B24" s="35" t="s">
        <v>119</v>
      </c>
      <c r="C24" s="36" t="s">
        <v>117</v>
      </c>
      <c r="D24" s="36" t="s">
        <v>102</v>
      </c>
      <c r="E24" s="40" t="s">
        <v>120</v>
      </c>
      <c r="F24" s="38">
        <v>1</v>
      </c>
      <c r="G24" s="40" t="s">
        <v>120</v>
      </c>
      <c r="H24" s="40" t="s">
        <v>117</v>
      </c>
      <c r="I24" s="40" t="s">
        <v>120</v>
      </c>
      <c r="J24" s="40" t="s">
        <v>120</v>
      </c>
      <c r="K24" s="31">
        <v>259</v>
      </c>
      <c r="L24" s="31">
        <v>259</v>
      </c>
      <c r="M24" s="40" t="s">
        <v>120</v>
      </c>
      <c r="N24" s="26"/>
      <c r="O24" s="26"/>
    </row>
    <row r="25" spans="1:15" ht="15.75" customHeight="1">
      <c r="A25" s="49" t="s">
        <v>121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26"/>
      <c r="O25" s="26"/>
    </row>
    <row r="26" spans="1:15" ht="15.75" customHeight="1">
      <c r="A26" s="29" t="s">
        <v>122</v>
      </c>
      <c r="B26" s="29" t="s">
        <v>106</v>
      </c>
      <c r="C26" s="30">
        <v>9093111</v>
      </c>
      <c r="D26" s="30" t="s">
        <v>123</v>
      </c>
      <c r="E26" s="31">
        <v>310</v>
      </c>
      <c r="F26" s="32">
        <v>1</v>
      </c>
      <c r="G26" s="33">
        <v>155</v>
      </c>
      <c r="H26" s="33">
        <v>30.99</v>
      </c>
      <c r="I26" s="33">
        <v>185.99</v>
      </c>
      <c r="J26" s="33">
        <v>371.98</v>
      </c>
      <c r="K26" s="41" t="s">
        <v>117</v>
      </c>
      <c r="L26" s="41" t="s">
        <v>117</v>
      </c>
      <c r="M26" s="41" t="s">
        <v>117</v>
      </c>
      <c r="N26" s="26"/>
      <c r="O26" s="26"/>
    </row>
    <row r="27" spans="1:15" ht="15.75" customHeight="1">
      <c r="A27" s="35" t="s">
        <v>124</v>
      </c>
      <c r="B27" s="35" t="s">
        <v>106</v>
      </c>
      <c r="C27" s="36">
        <v>12075010</v>
      </c>
      <c r="D27" s="36" t="s">
        <v>123</v>
      </c>
      <c r="E27" s="31">
        <v>120</v>
      </c>
      <c r="F27" s="38">
        <v>1</v>
      </c>
      <c r="G27" s="33">
        <v>60</v>
      </c>
      <c r="H27" s="33">
        <v>12</v>
      </c>
      <c r="I27" s="33">
        <v>72</v>
      </c>
      <c r="J27" s="33">
        <v>143.99</v>
      </c>
      <c r="K27" s="40" t="s">
        <v>117</v>
      </c>
      <c r="L27" s="40" t="s">
        <v>117</v>
      </c>
      <c r="M27" s="40" t="s">
        <v>117</v>
      </c>
      <c r="N27" s="26"/>
      <c r="O27" s="26"/>
    </row>
    <row r="28" spans="1:15" ht="15.75" customHeight="1">
      <c r="A28" s="29" t="s">
        <v>125</v>
      </c>
      <c r="B28" s="29" t="s">
        <v>106</v>
      </c>
      <c r="C28" s="30">
        <v>9109919</v>
      </c>
      <c r="D28" s="30" t="s">
        <v>123</v>
      </c>
      <c r="E28" s="31">
        <v>96</v>
      </c>
      <c r="F28" s="32">
        <v>1</v>
      </c>
      <c r="G28" s="33">
        <v>48</v>
      </c>
      <c r="H28" s="33">
        <v>9.6</v>
      </c>
      <c r="I28" s="33">
        <v>57.6</v>
      </c>
      <c r="J28" s="33">
        <v>115.19</v>
      </c>
      <c r="K28" s="41" t="s">
        <v>117</v>
      </c>
      <c r="L28" s="41" t="s">
        <v>117</v>
      </c>
      <c r="M28" s="41" t="s">
        <v>117</v>
      </c>
      <c r="N28" s="26"/>
      <c r="O28" s="26"/>
    </row>
    <row r="29" spans="1:15" ht="15.75" customHeight="1">
      <c r="A29" s="35" t="s">
        <v>126</v>
      </c>
      <c r="B29" s="35" t="s">
        <v>106</v>
      </c>
      <c r="C29" s="36">
        <v>9092110</v>
      </c>
      <c r="D29" s="36" t="s">
        <v>123</v>
      </c>
      <c r="E29" s="31">
        <v>192</v>
      </c>
      <c r="F29" s="38">
        <v>1</v>
      </c>
      <c r="G29" s="33">
        <v>96</v>
      </c>
      <c r="H29" s="33">
        <v>19.190000000000001</v>
      </c>
      <c r="I29" s="33">
        <v>115.19</v>
      </c>
      <c r="J29" s="33">
        <v>230.39</v>
      </c>
      <c r="K29" s="40" t="s">
        <v>117</v>
      </c>
      <c r="L29" s="40" t="s">
        <v>117</v>
      </c>
      <c r="M29" s="40" t="s">
        <v>117</v>
      </c>
      <c r="N29" s="26"/>
      <c r="O29" s="26"/>
    </row>
    <row r="30" spans="1:15" ht="15.75" customHeight="1">
      <c r="A30" s="29" t="s">
        <v>127</v>
      </c>
      <c r="B30" s="29" t="s">
        <v>106</v>
      </c>
      <c r="C30" s="30">
        <v>9041130</v>
      </c>
      <c r="D30" s="30" t="s">
        <v>123</v>
      </c>
      <c r="E30" s="31">
        <v>910</v>
      </c>
      <c r="F30" s="32">
        <v>1</v>
      </c>
      <c r="G30" s="33">
        <v>455</v>
      </c>
      <c r="H30" s="33">
        <v>90.97</v>
      </c>
      <c r="I30" s="33">
        <v>545.97</v>
      </c>
      <c r="J30" s="33">
        <v>1091.94</v>
      </c>
      <c r="K30" s="41" t="s">
        <v>117</v>
      </c>
      <c r="L30" s="41" t="s">
        <v>117</v>
      </c>
      <c r="M30" s="41" t="s">
        <v>117</v>
      </c>
      <c r="N30" s="26"/>
      <c r="O30" s="26"/>
    </row>
    <row r="31" spans="1:15" ht="15.75" customHeight="1">
      <c r="A31" s="35" t="s">
        <v>128</v>
      </c>
      <c r="B31" s="35" t="s">
        <v>106</v>
      </c>
      <c r="C31" s="36" t="s">
        <v>117</v>
      </c>
      <c r="D31" s="36" t="s">
        <v>129</v>
      </c>
      <c r="E31" s="40" t="s">
        <v>120</v>
      </c>
      <c r="F31" s="42"/>
      <c r="G31" s="40" t="s">
        <v>120</v>
      </c>
      <c r="H31" s="40" t="s">
        <v>117</v>
      </c>
      <c r="I31" s="40" t="s">
        <v>120</v>
      </c>
      <c r="J31" s="40" t="s">
        <v>120</v>
      </c>
      <c r="K31" s="38">
        <v>299</v>
      </c>
      <c r="L31" s="38">
        <v>250</v>
      </c>
      <c r="M31" s="40" t="s">
        <v>117</v>
      </c>
      <c r="N31" s="26"/>
      <c r="O31" s="26"/>
    </row>
    <row r="32" spans="1:15" ht="15.75" customHeight="1">
      <c r="A32" s="49" t="s">
        <v>130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26"/>
      <c r="O32" s="26"/>
    </row>
    <row r="33" spans="1:15" ht="15.75" customHeight="1">
      <c r="A33" s="29" t="s">
        <v>131</v>
      </c>
      <c r="B33" s="29" t="s">
        <v>106</v>
      </c>
      <c r="C33" s="30">
        <v>9042211</v>
      </c>
      <c r="D33" s="30" t="s">
        <v>132</v>
      </c>
      <c r="E33" s="31">
        <v>345</v>
      </c>
      <c r="F33" s="32">
        <v>3</v>
      </c>
      <c r="G33" s="33">
        <v>1035</v>
      </c>
      <c r="H33" s="33">
        <v>206.94</v>
      </c>
      <c r="I33" s="33">
        <v>1241.94</v>
      </c>
      <c r="J33" s="33">
        <v>413.98</v>
      </c>
      <c r="K33" s="41" t="s">
        <v>117</v>
      </c>
      <c r="L33" s="41" t="s">
        <v>117</v>
      </c>
      <c r="M33" s="41" t="s">
        <v>117</v>
      </c>
      <c r="N33" s="26"/>
      <c r="O33" s="26"/>
    </row>
    <row r="34" spans="1:15" ht="15.75" customHeight="1">
      <c r="A34" s="35" t="s">
        <v>133</v>
      </c>
      <c r="B34" s="35" t="s">
        <v>106</v>
      </c>
      <c r="C34" s="36">
        <v>9103030</v>
      </c>
      <c r="D34" s="36" t="s">
        <v>132</v>
      </c>
      <c r="E34" s="31">
        <v>228</v>
      </c>
      <c r="F34" s="38">
        <v>3</v>
      </c>
      <c r="G34" s="33">
        <v>684</v>
      </c>
      <c r="H34" s="33">
        <v>136.76</v>
      </c>
      <c r="I34" s="33">
        <v>820.76</v>
      </c>
      <c r="J34" s="33">
        <v>273.58999999999997</v>
      </c>
      <c r="K34" s="40" t="s">
        <v>117</v>
      </c>
      <c r="L34" s="40" t="s">
        <v>117</v>
      </c>
      <c r="M34" s="40" t="s">
        <v>117</v>
      </c>
      <c r="N34" s="26"/>
      <c r="O34" s="26"/>
    </row>
    <row r="35" spans="1:15" ht="15.75" customHeight="1">
      <c r="A35" s="29" t="s">
        <v>134</v>
      </c>
      <c r="B35" s="29" t="s">
        <v>106</v>
      </c>
      <c r="C35" s="30">
        <v>9092200</v>
      </c>
      <c r="D35" s="30" t="s">
        <v>132</v>
      </c>
      <c r="E35" s="31">
        <v>197</v>
      </c>
      <c r="F35" s="32">
        <v>3</v>
      </c>
      <c r="G35" s="33">
        <v>591</v>
      </c>
      <c r="H35" s="33">
        <v>118.16</v>
      </c>
      <c r="I35" s="33">
        <v>709.16</v>
      </c>
      <c r="J35" s="33">
        <v>236.39</v>
      </c>
      <c r="K35" s="41" t="s">
        <v>117</v>
      </c>
      <c r="L35" s="41" t="s">
        <v>117</v>
      </c>
      <c r="M35" s="41" t="s">
        <v>117</v>
      </c>
      <c r="N35" s="26"/>
      <c r="O35" s="26"/>
    </row>
    <row r="36" spans="1:15" ht="15.75" customHeight="1">
      <c r="A36" s="35" t="s">
        <v>135</v>
      </c>
      <c r="B36" s="35" t="s">
        <v>106</v>
      </c>
      <c r="C36" s="36">
        <v>9093111</v>
      </c>
      <c r="D36" s="36" t="s">
        <v>132</v>
      </c>
      <c r="E36" s="31">
        <v>325</v>
      </c>
      <c r="F36" s="38">
        <v>3</v>
      </c>
      <c r="G36" s="33">
        <v>975</v>
      </c>
      <c r="H36" s="33">
        <v>194.94</v>
      </c>
      <c r="I36" s="33">
        <v>1169.94</v>
      </c>
      <c r="J36" s="33">
        <v>389.98</v>
      </c>
      <c r="K36" s="40" t="s">
        <v>117</v>
      </c>
      <c r="L36" s="40" t="s">
        <v>117</v>
      </c>
      <c r="M36" s="40" t="s">
        <v>117</v>
      </c>
      <c r="N36" s="26"/>
      <c r="O36" s="26"/>
    </row>
    <row r="37" spans="1:15" ht="15.75" customHeight="1">
      <c r="A37" s="29" t="s">
        <v>136</v>
      </c>
      <c r="B37" s="29" t="s">
        <v>106</v>
      </c>
      <c r="C37" s="30" t="s">
        <v>117</v>
      </c>
      <c r="D37" s="30" t="s">
        <v>129</v>
      </c>
      <c r="E37" s="31" t="s">
        <v>120</v>
      </c>
      <c r="F37" s="43"/>
      <c r="G37" s="41" t="s">
        <v>120</v>
      </c>
      <c r="H37" s="41" t="s">
        <v>117</v>
      </c>
      <c r="I37" s="41" t="s">
        <v>120</v>
      </c>
      <c r="J37" s="41" t="s">
        <v>120</v>
      </c>
      <c r="K37" s="32">
        <v>299</v>
      </c>
      <c r="L37" s="32">
        <v>250</v>
      </c>
      <c r="M37" s="41" t="s">
        <v>117</v>
      </c>
      <c r="N37" s="26"/>
      <c r="O37" s="26"/>
    </row>
    <row r="38" spans="1:15" ht="14.5">
      <c r="A38" s="49" t="s">
        <v>137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26"/>
      <c r="O38" s="26"/>
    </row>
    <row r="39" spans="1:15" ht="14.5">
      <c r="A39" s="29" t="s">
        <v>138</v>
      </c>
      <c r="B39" s="29" t="s">
        <v>139</v>
      </c>
      <c r="C39" s="30">
        <v>39232990</v>
      </c>
      <c r="D39" s="30" t="s">
        <v>140</v>
      </c>
      <c r="E39" s="31">
        <v>1.75</v>
      </c>
      <c r="F39" s="44">
        <v>1000</v>
      </c>
      <c r="G39" s="33">
        <v>1750</v>
      </c>
      <c r="H39" s="33">
        <v>0</v>
      </c>
      <c r="I39" s="33">
        <v>1750</v>
      </c>
      <c r="J39" s="33">
        <v>1.75</v>
      </c>
      <c r="K39" s="41" t="s">
        <v>117</v>
      </c>
      <c r="L39" s="41" t="s">
        <v>117</v>
      </c>
      <c r="M39" s="41" t="s">
        <v>117</v>
      </c>
      <c r="N39" s="26"/>
      <c r="O39" s="26"/>
    </row>
    <row r="40" spans="1:15" ht="14.5">
      <c r="A40" s="35" t="s">
        <v>141</v>
      </c>
      <c r="B40" s="35" t="s">
        <v>139</v>
      </c>
      <c r="C40" s="36">
        <v>39232990</v>
      </c>
      <c r="D40" s="36" t="s">
        <v>140</v>
      </c>
      <c r="E40" s="31">
        <v>3</v>
      </c>
      <c r="F40" s="45">
        <v>1000</v>
      </c>
      <c r="G40" s="33">
        <v>3000</v>
      </c>
      <c r="H40" s="33">
        <v>0</v>
      </c>
      <c r="I40" s="33">
        <v>3000</v>
      </c>
      <c r="J40" s="33">
        <v>3</v>
      </c>
      <c r="K40" s="40" t="s">
        <v>117</v>
      </c>
      <c r="L40" s="40" t="s">
        <v>117</v>
      </c>
      <c r="M40" s="40" t="s">
        <v>117</v>
      </c>
      <c r="N40" s="26"/>
      <c r="O40" s="26"/>
    </row>
    <row r="41" spans="1:15" ht="14.5">
      <c r="A41" s="29" t="s">
        <v>142</v>
      </c>
      <c r="B41" s="29" t="s">
        <v>139</v>
      </c>
      <c r="C41" s="30">
        <v>39232990</v>
      </c>
      <c r="D41" s="30" t="s">
        <v>143</v>
      </c>
      <c r="E41" s="31">
        <v>5</v>
      </c>
      <c r="F41" s="32">
        <v>400</v>
      </c>
      <c r="G41" s="33">
        <v>2000</v>
      </c>
      <c r="H41" s="33">
        <v>0</v>
      </c>
      <c r="I41" s="33">
        <v>2000</v>
      </c>
      <c r="J41" s="33">
        <v>5</v>
      </c>
      <c r="K41" s="41" t="s">
        <v>117</v>
      </c>
      <c r="L41" s="41" t="s">
        <v>117</v>
      </c>
      <c r="M41" s="41" t="s">
        <v>117</v>
      </c>
      <c r="N41" s="26"/>
      <c r="O41" s="26"/>
    </row>
    <row r="42" spans="1:15" ht="14.5">
      <c r="A42" s="35" t="s">
        <v>42</v>
      </c>
      <c r="B42" s="35" t="s">
        <v>117</v>
      </c>
      <c r="C42" s="36" t="s">
        <v>117</v>
      </c>
      <c r="D42" s="36" t="s">
        <v>144</v>
      </c>
      <c r="E42" s="31">
        <v>15.5</v>
      </c>
      <c r="F42" s="38">
        <v>2</v>
      </c>
      <c r="G42" s="33">
        <v>31</v>
      </c>
      <c r="H42" s="33">
        <v>0</v>
      </c>
      <c r="I42" s="33">
        <v>31</v>
      </c>
      <c r="J42" s="33">
        <v>15.5</v>
      </c>
      <c r="K42" s="40" t="s">
        <v>145</v>
      </c>
      <c r="L42" s="40" t="s">
        <v>145</v>
      </c>
      <c r="M42" s="40" t="s">
        <v>117</v>
      </c>
      <c r="N42" s="26"/>
      <c r="O42" s="26"/>
    </row>
  </sheetData>
  <mergeCells count="8">
    <mergeCell ref="A25:M25"/>
    <mergeCell ref="A32:M32"/>
    <mergeCell ref="A38:M38"/>
    <mergeCell ref="A1:M1"/>
    <mergeCell ref="A2:M2"/>
    <mergeCell ref="A4:M4"/>
    <mergeCell ref="A12:M12"/>
    <mergeCell ref="A22:M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 June 26</vt:lpstr>
      <vt:lpstr>Sheet6</vt:lpstr>
      <vt:lpstr>Sheet1</vt:lpstr>
      <vt:lpstr>June 26 Price List</vt:lpstr>
      <vt:lpstr>Landed cost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Deepali Fulara</cp:lastModifiedBy>
  <dcterms:modified xsi:type="dcterms:W3CDTF">2026-06-30T06:47:59Z</dcterms:modified>
</cp:coreProperties>
</file>